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B0E2E9C8-84A0-42F2-B7FB-44D1922B183E}" xr6:coauthVersionLast="47" xr6:coauthVersionMax="47" xr10:uidLastSave="{00000000-0000-0000-0000-000000000000}"/>
  <bookViews>
    <workbookView xWindow="20370" yWindow="-120" windowWidth="29040" windowHeight="15720" xr2:uid="{97E6DA8C-8602-4E84-9698-52A18AEB03B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10" i="1" s="1"/>
  <c r="D10" i="1" s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B10" i="1"/>
  <c r="A10" i="1"/>
  <c r="B11" i="1" l="1"/>
  <c r="C11" i="1" s="1"/>
  <c r="D11" i="1" s="1"/>
  <c r="C6" i="1"/>
  <c r="B12" i="1" l="1"/>
  <c r="C12" i="1" s="1"/>
  <c r="D12" i="1" l="1"/>
  <c r="B13" i="1" l="1"/>
  <c r="C13" i="1" l="1"/>
  <c r="D13" i="1" s="1"/>
  <c r="B14" i="1" s="1"/>
  <c r="C14" i="1" l="1"/>
  <c r="D14" i="1" s="1"/>
  <c r="B15" i="1" s="1"/>
  <c r="C15" i="1" l="1"/>
  <c r="D15" i="1" s="1"/>
  <c r="B16" i="1" s="1"/>
  <c r="C16" i="1" l="1"/>
  <c r="D16" i="1" s="1"/>
  <c r="B17" i="1" s="1"/>
  <c r="C17" i="1" l="1"/>
  <c r="D17" i="1" s="1"/>
  <c r="B18" i="1" s="1"/>
  <c r="C18" i="1" l="1"/>
  <c r="D18" i="1" s="1"/>
  <c r="B19" i="1" s="1"/>
  <c r="C19" i="1" l="1"/>
  <c r="D19" i="1" s="1"/>
  <c r="B20" i="1" s="1"/>
  <c r="C20" i="1" l="1"/>
  <c r="D20" i="1" s="1"/>
  <c r="B21" i="1" s="1"/>
  <c r="C21" i="1" l="1"/>
  <c r="D21" i="1" s="1"/>
  <c r="B22" i="1" s="1"/>
  <c r="C22" i="1" l="1"/>
  <c r="D22" i="1" s="1"/>
  <c r="B23" i="1" s="1"/>
  <c r="C23" i="1" l="1"/>
  <c r="D23" i="1" s="1"/>
  <c r="B24" i="1" s="1"/>
  <c r="C24" i="1" l="1"/>
  <c r="D24" i="1" s="1"/>
  <c r="B25" i="1" s="1"/>
  <c r="C25" i="1" l="1"/>
  <c r="D25" i="1" s="1"/>
  <c r="B26" i="1" s="1"/>
  <c r="C26" i="1" l="1"/>
  <c r="D26" i="1" s="1"/>
  <c r="B27" i="1" s="1"/>
  <c r="C27" i="1" l="1"/>
  <c r="D27" i="1" s="1"/>
  <c r="B28" i="1" s="1"/>
  <c r="C28" i="1" l="1"/>
  <c r="D28" i="1" s="1"/>
  <c r="B29" i="1" s="1"/>
  <c r="C29" i="1" l="1"/>
  <c r="D29" i="1" s="1"/>
  <c r="B30" i="1" s="1"/>
  <c r="C30" i="1" l="1"/>
  <c r="D30" i="1" s="1"/>
  <c r="B31" i="1" s="1"/>
  <c r="C31" i="1" l="1"/>
  <c r="D31" i="1" s="1"/>
  <c r="B32" i="1" s="1"/>
  <c r="C32" i="1" l="1"/>
  <c r="D32" i="1" s="1"/>
  <c r="B33" i="1" s="1"/>
  <c r="C33" i="1" l="1"/>
  <c r="D33" i="1" s="1"/>
  <c r="B34" i="1" s="1"/>
  <c r="C34" i="1" l="1"/>
  <c r="D34" i="1" s="1"/>
  <c r="B35" i="1" s="1"/>
  <c r="C35" i="1" l="1"/>
  <c r="D35" i="1" s="1"/>
  <c r="B36" i="1" s="1"/>
  <c r="C36" i="1" l="1"/>
  <c r="D36" i="1" s="1"/>
  <c r="B37" i="1" s="1"/>
  <c r="C37" i="1" l="1"/>
  <c r="D37" i="1" s="1"/>
  <c r="B38" i="1" s="1"/>
  <c r="C38" i="1" l="1"/>
  <c r="D38" i="1" s="1"/>
  <c r="B39" i="1" s="1"/>
  <c r="C39" i="1" l="1"/>
  <c r="D39" i="1" s="1"/>
  <c r="B40" i="1" s="1"/>
  <c r="C40" i="1" l="1"/>
  <c r="D40" i="1" s="1"/>
  <c r="B41" i="1" s="1"/>
  <c r="C41" i="1" l="1"/>
  <c r="D41" i="1" s="1"/>
  <c r="B42" i="1" s="1"/>
  <c r="C42" i="1" l="1"/>
  <c r="D42" i="1" s="1"/>
  <c r="B43" i="1" s="1"/>
  <c r="C43" i="1" l="1"/>
  <c r="D43" i="1" s="1"/>
  <c r="B44" i="1" s="1"/>
  <c r="C44" i="1" l="1"/>
  <c r="D44" i="1" s="1"/>
  <c r="B45" i="1" s="1"/>
  <c r="C45" i="1" l="1"/>
  <c r="D45" i="1" s="1"/>
  <c r="B46" i="1" s="1"/>
  <c r="C46" i="1" l="1"/>
  <c r="D46" i="1" s="1"/>
  <c r="B47" i="1" s="1"/>
  <c r="C47" i="1" l="1"/>
  <c r="D47" i="1" s="1"/>
  <c r="B48" i="1" s="1"/>
  <c r="C48" i="1" l="1"/>
  <c r="D48" i="1" s="1"/>
  <c r="B49" i="1" s="1"/>
  <c r="C49" i="1" l="1"/>
  <c r="D49" i="1" s="1"/>
  <c r="B50" i="1" s="1"/>
  <c r="C50" i="1" l="1"/>
  <c r="D50" i="1" s="1"/>
  <c r="B51" i="1" s="1"/>
  <c r="C51" i="1" l="1"/>
  <c r="D51" i="1" s="1"/>
  <c r="B52" i="1" s="1"/>
  <c r="C52" i="1" l="1"/>
  <c r="D52" i="1" s="1"/>
  <c r="B53" i="1" s="1"/>
  <c r="C53" i="1" l="1"/>
  <c r="D53" i="1" s="1"/>
  <c r="B54" i="1" s="1"/>
  <c r="C54" i="1" l="1"/>
  <c r="D54" i="1" s="1"/>
  <c r="B55" i="1" s="1"/>
  <c r="C55" i="1" l="1"/>
  <c r="D55" i="1" s="1"/>
  <c r="B56" i="1" s="1"/>
  <c r="C56" i="1" l="1"/>
  <c r="D56" i="1" s="1"/>
  <c r="B57" i="1" s="1"/>
  <c r="C57" i="1" l="1"/>
  <c r="D57" i="1" s="1"/>
  <c r="B58" i="1" s="1"/>
  <c r="C58" i="1" l="1"/>
  <c r="D58" i="1" s="1"/>
  <c r="B59" i="1" s="1"/>
  <c r="C59" i="1" l="1"/>
  <c r="D59" i="1" s="1"/>
  <c r="B60" i="1" s="1"/>
  <c r="C60" i="1" l="1"/>
  <c r="D60" i="1" s="1"/>
  <c r="B61" i="1" s="1"/>
  <c r="C61" i="1" l="1"/>
  <c r="D61" i="1" s="1"/>
  <c r="B62" i="1" s="1"/>
  <c r="C62" i="1" l="1"/>
  <c r="D62" i="1" s="1"/>
  <c r="B63" i="1" s="1"/>
  <c r="C63" i="1" l="1"/>
  <c r="D63" i="1" s="1"/>
  <c r="B64" i="1" s="1"/>
  <c r="C64" i="1" l="1"/>
  <c r="D64" i="1" s="1"/>
  <c r="B65" i="1" l="1"/>
  <c r="C65" i="1" s="1"/>
  <c r="D65" i="1" s="1"/>
  <c r="B66" i="1" s="1"/>
  <c r="C66" i="1" l="1"/>
  <c r="D66" i="1" s="1"/>
  <c r="B67" i="1" s="1"/>
  <c r="C67" i="1" l="1"/>
  <c r="D67" i="1" s="1"/>
  <c r="B68" i="1" s="1"/>
  <c r="C68" i="1" l="1"/>
  <c r="D68" i="1" s="1"/>
  <c r="B69" i="1" s="1"/>
  <c r="C69" i="1" l="1"/>
  <c r="D69" i="1" s="1"/>
</calcChain>
</file>

<file path=xl/sharedStrings.xml><?xml version="1.0" encoding="utf-8"?>
<sst xmlns="http://schemas.openxmlformats.org/spreadsheetml/2006/main" count="9" uniqueCount="9">
  <si>
    <t>Valor Presente (PV)</t>
  </si>
  <si>
    <t>Taxa de Juros a. m.</t>
  </si>
  <si>
    <t>Período (meses)</t>
  </si>
  <si>
    <t>Parcela</t>
  </si>
  <si>
    <t>Juros</t>
  </si>
  <si>
    <t>Amortização</t>
  </si>
  <si>
    <t>PMT</t>
  </si>
  <si>
    <t>MONTANTE</t>
  </si>
  <si>
    <t>Saldo Devedor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</si>
</sst>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0" fontId="0" fillId="0" borderId="0" xfId="2" applyNumberFormat="1" applyFont="1"/>
    <xf numFmtId="44" fontId="0" fillId="0" borderId="0" xfId="0" applyNumberFormat="1"/>
    <xf numFmtId="0" fontId="0" fillId="0" borderId="0" xfId="0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47192</xdr:colOff>
      <xdr:row>5</xdr:row>
      <xdr:rowOff>51522</xdr:rowOff>
    </xdr:from>
    <xdr:ext cx="662938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CF7505BF-8B48-AC6B-527C-5E75177DB0F9}"/>
                </a:ext>
              </a:extLst>
            </xdr:cNvPr>
            <xdr:cNvSpPr txBox="1"/>
          </xdr:nvSpPr>
          <xdr:spPr>
            <a:xfrm>
              <a:off x="3069215" y="1004022"/>
              <a:ext cx="66293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𝑀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CF7505BF-8B48-AC6B-527C-5E75177DB0F9}"/>
                </a:ext>
              </a:extLst>
            </xdr:cNvPr>
            <xdr:cNvSpPr txBox="1"/>
          </xdr:nvSpPr>
          <xdr:spPr>
            <a:xfrm>
              <a:off x="3069215" y="1004022"/>
              <a:ext cx="66293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𝑀=𝑃𝑀𝑇</a:t>
              </a:r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×𝑛</a:t>
              </a:r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 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42861</xdr:colOff>
      <xdr:row>3</xdr:row>
      <xdr:rowOff>159759</xdr:rowOff>
    </xdr:from>
    <xdr:ext cx="1108637" cy="25878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3472DEC0-F50B-0AB0-7434-DD22C52EB236}"/>
                </a:ext>
              </a:extLst>
            </xdr:cNvPr>
            <xdr:cNvSpPr txBox="1"/>
          </xdr:nvSpPr>
          <xdr:spPr>
            <a:xfrm>
              <a:off x="3155804" y="731259"/>
              <a:ext cx="1108637" cy="258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𝑃𝑉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sSup>
                          <m:sSupPr>
                            <m:ctrlP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pt-BR" sz="8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3472DEC0-F50B-0AB0-7434-DD22C52EB236}"/>
                </a:ext>
              </a:extLst>
            </xdr:cNvPr>
            <xdr:cNvSpPr txBox="1"/>
          </xdr:nvSpPr>
          <xdr:spPr>
            <a:xfrm>
              <a:off x="3155804" y="731259"/>
              <a:ext cx="1108637" cy="258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𝑃𝑀𝑇=𝑃𝑉</a:t>
              </a:r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×(𝑖〖(1+𝑖)〗^𝑛)/(〖(1+𝑖)〗^𝑛−1)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337269</xdr:colOff>
      <xdr:row>7</xdr:row>
      <xdr:rowOff>51520</xdr:rowOff>
    </xdr:from>
    <xdr:ext cx="670183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21E7FB5-76D6-7B5C-D455-0E7F4EBE1769}"/>
                </a:ext>
              </a:extLst>
            </xdr:cNvPr>
            <xdr:cNvSpPr txBox="1"/>
          </xdr:nvSpPr>
          <xdr:spPr>
            <a:xfrm>
              <a:off x="947735" y="1385020"/>
              <a:ext cx="670183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8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𝐽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𝑆𝐷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121E7FB5-76D6-7B5C-D455-0E7F4EBE1769}"/>
                </a:ext>
              </a:extLst>
            </xdr:cNvPr>
            <xdr:cNvSpPr txBox="1"/>
          </xdr:nvSpPr>
          <xdr:spPr>
            <a:xfrm>
              <a:off x="947735" y="1385020"/>
              <a:ext cx="670183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𝐽_𝑛=〖𝑆𝐷〗_(𝑛−1)</a:t>
              </a:r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×𝑖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60178</xdr:colOff>
      <xdr:row>7</xdr:row>
      <xdr:rowOff>25542</xdr:rowOff>
    </xdr:from>
    <xdr:ext cx="993734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DEC3D595-0C16-49A3-2D6A-C9CABE2051B4}"/>
                </a:ext>
              </a:extLst>
            </xdr:cNvPr>
            <xdr:cNvSpPr txBox="1"/>
          </xdr:nvSpPr>
          <xdr:spPr>
            <a:xfrm>
              <a:off x="1986826" y="1359042"/>
              <a:ext cx="993734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8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𝐴𝑀𝑂𝑅𝑇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𝑃𝑀𝑇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𝐽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DEC3D595-0C16-49A3-2D6A-C9CABE2051B4}"/>
                </a:ext>
              </a:extLst>
            </xdr:cNvPr>
            <xdr:cNvSpPr txBox="1"/>
          </xdr:nvSpPr>
          <xdr:spPr>
            <a:xfrm>
              <a:off x="1986826" y="1359042"/>
              <a:ext cx="993734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𝐴𝑀𝑂𝑅𝑇〗_𝑛=𝑃𝑀𝑇−𝐽_𝑛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65374</xdr:colOff>
      <xdr:row>7</xdr:row>
      <xdr:rowOff>30736</xdr:rowOff>
    </xdr:from>
    <xdr:ext cx="1112164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15F4112-9E9A-4F20-950B-B236D6102B17}"/>
                </a:ext>
              </a:extLst>
            </xdr:cNvPr>
            <xdr:cNvSpPr txBox="1"/>
          </xdr:nvSpPr>
          <xdr:spPr>
            <a:xfrm>
              <a:off x="3018124" y="1364236"/>
              <a:ext cx="1112164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8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𝑆𝐷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𝑆𝐷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𝐴𝑀𝑂𝑅𝑇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15F4112-9E9A-4F20-950B-B236D6102B17}"/>
                </a:ext>
              </a:extLst>
            </xdr:cNvPr>
            <xdr:cNvSpPr txBox="1"/>
          </xdr:nvSpPr>
          <xdr:spPr>
            <a:xfrm>
              <a:off x="3018124" y="1364236"/>
              <a:ext cx="1112164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</a:t>
              </a:r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𝑆𝐷〗_𝑛=〖𝑆𝐷〗_(𝑛−1)−〖𝐴𝑀𝑂𝑅𝑇〗_𝑛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1133907</xdr:colOff>
      <xdr:row>1</xdr:row>
      <xdr:rowOff>34203</xdr:rowOff>
    </xdr:from>
    <xdr:ext cx="129651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BCBF1508-288E-669A-288F-306541F75E03}"/>
                </a:ext>
              </a:extLst>
            </xdr:cNvPr>
            <xdr:cNvSpPr txBox="1"/>
          </xdr:nvSpPr>
          <xdr:spPr>
            <a:xfrm>
              <a:off x="1744373" y="224703"/>
              <a:ext cx="12965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80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BCBF1508-288E-669A-288F-306541F75E03}"/>
                </a:ext>
              </a:extLst>
            </xdr:cNvPr>
            <xdr:cNvSpPr txBox="1"/>
          </xdr:nvSpPr>
          <xdr:spPr>
            <a:xfrm>
              <a:off x="1744373" y="224703"/>
              <a:ext cx="12965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𝑛_0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1164214</xdr:colOff>
      <xdr:row>2</xdr:row>
      <xdr:rowOff>29873</xdr:rowOff>
    </xdr:from>
    <xdr:ext cx="58991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66AFBCC8-C863-3363-E335-896D243F5271}"/>
                </a:ext>
              </a:extLst>
            </xdr:cNvPr>
            <xdr:cNvSpPr txBox="1"/>
          </xdr:nvSpPr>
          <xdr:spPr>
            <a:xfrm>
              <a:off x="1774680" y="410873"/>
              <a:ext cx="5899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66AFBCC8-C863-3363-E335-896D243F5271}"/>
                </a:ext>
              </a:extLst>
            </xdr:cNvPr>
            <xdr:cNvSpPr txBox="1"/>
          </xdr:nvSpPr>
          <xdr:spPr>
            <a:xfrm>
              <a:off x="1774680" y="410873"/>
              <a:ext cx="58991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𝑖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</xdr:col>
      <xdr:colOff>999691</xdr:colOff>
      <xdr:row>3</xdr:row>
      <xdr:rowOff>29874</xdr:rowOff>
    </xdr:from>
    <xdr:ext cx="83804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AAE53C09-667E-9E92-4C20-1CBEC559237E}"/>
                </a:ext>
              </a:extLst>
            </xdr:cNvPr>
            <xdr:cNvSpPr txBox="1"/>
          </xdr:nvSpPr>
          <xdr:spPr>
            <a:xfrm>
              <a:off x="1610157" y="601374"/>
              <a:ext cx="83804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pt-BR" sz="8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AAE53C09-667E-9E92-4C20-1CBEC559237E}"/>
                </a:ext>
              </a:extLst>
            </xdr:cNvPr>
            <xdr:cNvSpPr txBox="1"/>
          </xdr:nvSpPr>
          <xdr:spPr>
            <a:xfrm>
              <a:off x="1610157" y="601374"/>
              <a:ext cx="83804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</a:t>
              </a:r>
              <a:endParaRPr lang="pt-BR" sz="8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1177202</xdr:colOff>
      <xdr:row>4</xdr:row>
      <xdr:rowOff>34203</xdr:rowOff>
    </xdr:from>
    <xdr:ext cx="935000" cy="125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773FE6BD-2DA9-FDD3-9D1B-ACD8A217C771}"/>
                </a:ext>
              </a:extLst>
            </xdr:cNvPr>
            <xdr:cNvSpPr txBox="1"/>
          </xdr:nvSpPr>
          <xdr:spPr>
            <a:xfrm>
              <a:off x="4199225" y="796203"/>
              <a:ext cx="935000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𝑜𝑢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8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𝑃𝐺𝑇𝑂</m:t>
                    </m:r>
                    <m:d>
                      <m:dPr>
                        <m:ctrlP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;</m:t>
                        </m:r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;</m:t>
                        </m:r>
                        <m:r>
                          <a:rPr lang="pt-BR" sz="8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𝑃𝑉</m:t>
                        </m:r>
                      </m:e>
                    </m:d>
                  </m:oMath>
                </m:oMathPara>
              </a14:m>
              <a:endParaRPr lang="pt-BR" sz="800" b="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773FE6BD-2DA9-FDD3-9D1B-ACD8A217C771}"/>
                </a:ext>
              </a:extLst>
            </xdr:cNvPr>
            <xdr:cNvSpPr txBox="1"/>
          </xdr:nvSpPr>
          <xdr:spPr>
            <a:xfrm>
              <a:off x="4199225" y="796203"/>
              <a:ext cx="935000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𝑜𝑢=𝑃𝐺𝑇𝑂(𝑖;𝑛;𝑃𝑉)</a:t>
              </a:r>
              <a:endParaRPr lang="pt-BR" sz="800" b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C29A-1CB9-4DB2-9E54-8ACF2E410113}">
  <dimension ref="A2:D69"/>
  <sheetViews>
    <sheetView tabSelected="1" zoomScale="220" zoomScaleNormal="220" workbookViewId="0">
      <selection activeCell="E10" sqref="E10"/>
    </sheetView>
  </sheetViews>
  <sheetFormatPr defaultRowHeight="15" x14ac:dyDescent="0.25"/>
  <cols>
    <col min="2" max="2" width="19.7109375" customWidth="1"/>
    <col min="3" max="3" width="16.42578125" customWidth="1"/>
    <col min="4" max="4" width="18.28515625" customWidth="1"/>
  </cols>
  <sheetData>
    <row r="2" spans="1:4" x14ac:dyDescent="0.25">
      <c r="B2" t="s">
        <v>0</v>
      </c>
      <c r="C2" s="1">
        <v>81000</v>
      </c>
    </row>
    <row r="3" spans="1:4" x14ac:dyDescent="0.25">
      <c r="B3" t="s">
        <v>1</v>
      </c>
      <c r="C3" s="2">
        <v>1.78E-2</v>
      </c>
    </row>
    <row r="4" spans="1:4" x14ac:dyDescent="0.25">
      <c r="B4" t="s">
        <v>2</v>
      </c>
      <c r="C4">
        <v>60</v>
      </c>
    </row>
    <row r="5" spans="1:4" x14ac:dyDescent="0.25">
      <c r="B5" t="s">
        <v>6</v>
      </c>
      <c r="C5" s="3">
        <f>C2*C3*POWER(1+C3,C4)/(POWER(1+C3,C4)-1)</f>
        <v>2207.757239550177</v>
      </c>
    </row>
    <row r="6" spans="1:4" x14ac:dyDescent="0.25">
      <c r="B6" t="s">
        <v>7</v>
      </c>
      <c r="C6" s="3">
        <f>C5*C4</f>
        <v>132465.43437301062</v>
      </c>
    </row>
    <row r="7" spans="1:4" x14ac:dyDescent="0.25">
      <c r="C7" s="3"/>
    </row>
    <row r="9" spans="1:4" x14ac:dyDescent="0.25">
      <c r="A9" s="4" t="s">
        <v>3</v>
      </c>
      <c r="B9" s="4" t="s">
        <v>4</v>
      </c>
      <c r="C9" s="4" t="s">
        <v>5</v>
      </c>
      <c r="D9" s="4" t="s">
        <v>8</v>
      </c>
    </row>
    <row r="10" spans="1:4" x14ac:dyDescent="0.25">
      <c r="A10">
        <f>ROW(A10)-9</f>
        <v>1</v>
      </c>
      <c r="B10" s="3">
        <f>C2*C3</f>
        <v>1441.8</v>
      </c>
      <c r="C10" s="3">
        <f>$C$5-B10</f>
        <v>765.95723955017706</v>
      </c>
      <c r="D10" s="3">
        <f>C2-C10</f>
        <v>80234.042760449825</v>
      </c>
    </row>
    <row r="11" spans="1:4" x14ac:dyDescent="0.25">
      <c r="A11">
        <f t="shared" ref="A11:A69" si="0">ROW(A11)-9</f>
        <v>2</v>
      </c>
      <c r="B11" s="3">
        <f>D10*$C$3</f>
        <v>1428.1659611360069</v>
      </c>
      <c r="C11" s="3">
        <f>$C$5-B11</f>
        <v>779.59127841417012</v>
      </c>
      <c r="D11" s="3">
        <f>D10-C11</f>
        <v>79454.451482035656</v>
      </c>
    </row>
    <row r="12" spans="1:4" x14ac:dyDescent="0.25">
      <c r="A12">
        <f t="shared" si="0"/>
        <v>3</v>
      </c>
      <c r="B12" s="3">
        <f t="shared" ref="B12:B69" si="1">D11*$C$3</f>
        <v>1414.2892363802346</v>
      </c>
      <c r="C12" s="3">
        <f t="shared" ref="C12:C69" si="2">$C$5-B12</f>
        <v>793.46800316994245</v>
      </c>
      <c r="D12" s="3">
        <f t="shared" ref="D12:D69" si="3">D11-C12</f>
        <v>78660.983478865717</v>
      </c>
    </row>
    <row r="13" spans="1:4" x14ac:dyDescent="0.25">
      <c r="A13">
        <f t="shared" si="0"/>
        <v>4</v>
      </c>
      <c r="B13" s="3">
        <f t="shared" si="1"/>
        <v>1400.1655059238099</v>
      </c>
      <c r="C13" s="3">
        <f t="shared" si="2"/>
        <v>807.59173362636716</v>
      </c>
      <c r="D13" s="3">
        <f t="shared" si="3"/>
        <v>77853.391745239351</v>
      </c>
    </row>
    <row r="14" spans="1:4" x14ac:dyDescent="0.25">
      <c r="A14">
        <f t="shared" si="0"/>
        <v>5</v>
      </c>
      <c r="B14" s="3">
        <f t="shared" si="1"/>
        <v>1385.7903730652604</v>
      </c>
      <c r="C14" s="3">
        <f t="shared" si="2"/>
        <v>821.96686648491664</v>
      </c>
      <c r="D14" s="3">
        <f t="shared" si="3"/>
        <v>77031.424878754435</v>
      </c>
    </row>
    <row r="15" spans="1:4" x14ac:dyDescent="0.25">
      <c r="A15">
        <f t="shared" si="0"/>
        <v>6</v>
      </c>
      <c r="B15" s="3">
        <f t="shared" si="1"/>
        <v>1371.1593628418289</v>
      </c>
      <c r="C15" s="3">
        <f t="shared" si="2"/>
        <v>836.59787670834817</v>
      </c>
      <c r="D15" s="3">
        <f t="shared" si="3"/>
        <v>76194.827002046091</v>
      </c>
    </row>
    <row r="16" spans="1:4" x14ac:dyDescent="0.25">
      <c r="A16">
        <f t="shared" si="0"/>
        <v>7</v>
      </c>
      <c r="B16" s="3">
        <f t="shared" si="1"/>
        <v>1356.2679206364205</v>
      </c>
      <c r="C16" s="3">
        <f t="shared" si="2"/>
        <v>851.48931891375651</v>
      </c>
      <c r="D16" s="3">
        <f t="shared" si="3"/>
        <v>75343.33768313234</v>
      </c>
    </row>
    <row r="17" spans="1:4" x14ac:dyDescent="0.25">
      <c r="A17">
        <f t="shared" si="0"/>
        <v>8</v>
      </c>
      <c r="B17" s="3">
        <f t="shared" si="1"/>
        <v>1341.1114107597557</v>
      </c>
      <c r="C17" s="3">
        <f t="shared" si="2"/>
        <v>866.64582879042132</v>
      </c>
      <c r="D17" s="3">
        <f t="shared" si="3"/>
        <v>74476.691854341916</v>
      </c>
    </row>
    <row r="18" spans="1:4" x14ac:dyDescent="0.25">
      <c r="A18">
        <f t="shared" si="0"/>
        <v>9</v>
      </c>
      <c r="B18" s="3">
        <f t="shared" si="1"/>
        <v>1325.6851150072862</v>
      </c>
      <c r="C18" s="3">
        <f t="shared" si="2"/>
        <v>882.07212454289083</v>
      </c>
      <c r="D18" s="3">
        <f t="shared" si="3"/>
        <v>73594.619729799029</v>
      </c>
    </row>
    <row r="19" spans="1:4" x14ac:dyDescent="0.25">
      <c r="A19">
        <f t="shared" si="0"/>
        <v>10</v>
      </c>
      <c r="B19" s="3">
        <f t="shared" si="1"/>
        <v>1309.9842311904226</v>
      </c>
      <c r="C19" s="3">
        <f t="shared" si="2"/>
        <v>897.77300835975439</v>
      </c>
      <c r="D19" s="3">
        <f t="shared" si="3"/>
        <v>72696.846721439273</v>
      </c>
    </row>
    <row r="20" spans="1:4" x14ac:dyDescent="0.25">
      <c r="A20">
        <f t="shared" si="0"/>
        <v>11</v>
      </c>
      <c r="B20" s="3">
        <f t="shared" si="1"/>
        <v>1294.0038716416191</v>
      </c>
      <c r="C20" s="3">
        <f t="shared" si="2"/>
        <v>913.75336790855795</v>
      </c>
      <c r="D20" s="3">
        <f t="shared" si="3"/>
        <v>71783.093353530712</v>
      </c>
    </row>
    <row r="21" spans="1:4" x14ac:dyDescent="0.25">
      <c r="A21">
        <f t="shared" si="0"/>
        <v>12</v>
      </c>
      <c r="B21" s="3">
        <f t="shared" si="1"/>
        <v>1277.7390616928467</v>
      </c>
      <c r="C21" s="3">
        <f t="shared" si="2"/>
        <v>930.01817785733033</v>
      </c>
      <c r="D21" s="3">
        <f t="shared" si="3"/>
        <v>70853.075175673381</v>
      </c>
    </row>
    <row r="22" spans="1:4" x14ac:dyDescent="0.25">
      <c r="A22">
        <f t="shared" si="0"/>
        <v>13</v>
      </c>
      <c r="B22" s="3">
        <f t="shared" si="1"/>
        <v>1261.1847381269861</v>
      </c>
      <c r="C22" s="3">
        <f t="shared" si="2"/>
        <v>946.57250142319094</v>
      </c>
      <c r="D22" s="3">
        <f t="shared" si="3"/>
        <v>69906.502674250194</v>
      </c>
    </row>
    <row r="23" spans="1:4" x14ac:dyDescent="0.25">
      <c r="A23">
        <f t="shared" si="0"/>
        <v>14</v>
      </c>
      <c r="B23" s="3">
        <f t="shared" si="1"/>
        <v>1244.3357476016533</v>
      </c>
      <c r="C23" s="3">
        <f t="shared" si="2"/>
        <v>963.42149194852368</v>
      </c>
      <c r="D23" s="3">
        <f t="shared" si="3"/>
        <v>68943.08118230167</v>
      </c>
    </row>
    <row r="24" spans="1:4" x14ac:dyDescent="0.25">
      <c r="A24">
        <f t="shared" si="0"/>
        <v>15</v>
      </c>
      <c r="B24" s="3">
        <f t="shared" si="1"/>
        <v>1227.1868450449697</v>
      </c>
      <c r="C24" s="3">
        <f t="shared" si="2"/>
        <v>980.57039450520733</v>
      </c>
      <c r="D24" s="3">
        <f t="shared" si="3"/>
        <v>67962.510787796462</v>
      </c>
    </row>
    <row r="25" spans="1:4" x14ac:dyDescent="0.25">
      <c r="A25">
        <f t="shared" si="0"/>
        <v>16</v>
      </c>
      <c r="B25" s="3">
        <f t="shared" si="1"/>
        <v>1209.732692022777</v>
      </c>
      <c r="C25" s="3">
        <f t="shared" si="2"/>
        <v>998.02454752740005</v>
      </c>
      <c r="D25" s="3">
        <f t="shared" si="3"/>
        <v>66964.486240269063</v>
      </c>
    </row>
    <row r="26" spans="1:4" x14ac:dyDescent="0.25">
      <c r="A26">
        <f t="shared" si="0"/>
        <v>17</v>
      </c>
      <c r="B26" s="3">
        <f t="shared" si="1"/>
        <v>1191.9678550767894</v>
      </c>
      <c r="C26" s="3">
        <f t="shared" si="2"/>
        <v>1015.7893844733876</v>
      </c>
      <c r="D26" s="3">
        <f t="shared" si="3"/>
        <v>65948.696855795672</v>
      </c>
    </row>
    <row r="27" spans="1:4" x14ac:dyDescent="0.25">
      <c r="A27">
        <f t="shared" si="0"/>
        <v>18</v>
      </c>
      <c r="B27" s="3">
        <f t="shared" si="1"/>
        <v>1173.8868040331629</v>
      </c>
      <c r="C27" s="3">
        <f t="shared" si="2"/>
        <v>1033.8704355170141</v>
      </c>
      <c r="D27" s="3">
        <f t="shared" si="3"/>
        <v>64914.826420278659</v>
      </c>
    </row>
    <row r="28" spans="1:4" x14ac:dyDescent="0.25">
      <c r="A28">
        <f t="shared" si="0"/>
        <v>19</v>
      </c>
      <c r="B28" s="3">
        <f t="shared" si="1"/>
        <v>1155.4839102809601</v>
      </c>
      <c r="C28" s="3">
        <f t="shared" si="2"/>
        <v>1052.2733292692169</v>
      </c>
      <c r="D28" s="3">
        <f t="shared" si="3"/>
        <v>63862.553091009446</v>
      </c>
    </row>
    <row r="29" spans="1:4" x14ac:dyDescent="0.25">
      <c r="A29">
        <f t="shared" si="0"/>
        <v>20</v>
      </c>
      <c r="B29" s="3">
        <f t="shared" si="1"/>
        <v>1136.753445019968</v>
      </c>
      <c r="C29" s="3">
        <f t="shared" si="2"/>
        <v>1071.003794530209</v>
      </c>
      <c r="D29" s="3">
        <f t="shared" si="3"/>
        <v>62791.549296479236</v>
      </c>
    </row>
    <row r="30" spans="1:4" x14ac:dyDescent="0.25">
      <c r="A30">
        <f t="shared" si="0"/>
        <v>21</v>
      </c>
      <c r="B30" s="3">
        <f t="shared" si="1"/>
        <v>1117.6895774773304</v>
      </c>
      <c r="C30" s="3">
        <f t="shared" si="2"/>
        <v>1090.0676620728466</v>
      </c>
      <c r="D30" s="3">
        <f t="shared" si="3"/>
        <v>61701.481634406387</v>
      </c>
    </row>
    <row r="31" spans="1:4" x14ac:dyDescent="0.25">
      <c r="A31">
        <f t="shared" si="0"/>
        <v>22</v>
      </c>
      <c r="B31" s="3">
        <f t="shared" si="1"/>
        <v>1098.2863730924337</v>
      </c>
      <c r="C31" s="3">
        <f t="shared" si="2"/>
        <v>1109.4708664577433</v>
      </c>
      <c r="D31" s="3">
        <f t="shared" si="3"/>
        <v>60592.010767948646</v>
      </c>
    </row>
    <row r="32" spans="1:4" x14ac:dyDescent="0.25">
      <c r="A32">
        <f t="shared" si="0"/>
        <v>23</v>
      </c>
      <c r="B32" s="3">
        <f t="shared" si="1"/>
        <v>1078.5377916694858</v>
      </c>
      <c r="C32" s="3">
        <f t="shared" si="2"/>
        <v>1129.2194478806912</v>
      </c>
      <c r="D32" s="3">
        <f t="shared" si="3"/>
        <v>59462.791320067954</v>
      </c>
    </row>
    <row r="33" spans="1:4" x14ac:dyDescent="0.25">
      <c r="A33">
        <f t="shared" si="0"/>
        <v>24</v>
      </c>
      <c r="B33" s="3">
        <f t="shared" si="1"/>
        <v>1058.4376854972095</v>
      </c>
      <c r="C33" s="3">
        <f t="shared" si="2"/>
        <v>1149.3195540529675</v>
      </c>
      <c r="D33" s="3">
        <f t="shared" si="3"/>
        <v>58313.471766014984</v>
      </c>
    </row>
    <row r="34" spans="1:4" x14ac:dyDescent="0.25">
      <c r="A34">
        <f t="shared" si="0"/>
        <v>25</v>
      </c>
      <c r="B34" s="3">
        <f t="shared" si="1"/>
        <v>1037.9797974350668</v>
      </c>
      <c r="C34" s="3">
        <f t="shared" si="2"/>
        <v>1169.7774421151103</v>
      </c>
      <c r="D34" s="3">
        <f t="shared" si="3"/>
        <v>57143.694323899872</v>
      </c>
    </row>
    <row r="35" spans="1:4" x14ac:dyDescent="0.25">
      <c r="A35">
        <f t="shared" si="0"/>
        <v>26</v>
      </c>
      <c r="B35" s="3">
        <f t="shared" si="1"/>
        <v>1017.1577589654177</v>
      </c>
      <c r="C35" s="3">
        <f t="shared" si="2"/>
        <v>1190.5994805847595</v>
      </c>
      <c r="D35" s="3">
        <f t="shared" si="3"/>
        <v>55953.094843315113</v>
      </c>
    </row>
    <row r="36" spans="1:4" x14ac:dyDescent="0.25">
      <c r="A36">
        <f t="shared" si="0"/>
        <v>27</v>
      </c>
      <c r="B36" s="3">
        <f t="shared" si="1"/>
        <v>995.96508821100906</v>
      </c>
      <c r="C36" s="3">
        <f t="shared" si="2"/>
        <v>1211.792151339168</v>
      </c>
      <c r="D36" s="3">
        <f t="shared" si="3"/>
        <v>54741.302691975943</v>
      </c>
    </row>
    <row r="37" spans="1:4" x14ac:dyDescent="0.25">
      <c r="A37">
        <f t="shared" si="0"/>
        <v>28</v>
      </c>
      <c r="B37" s="3">
        <f t="shared" si="1"/>
        <v>974.39518791717182</v>
      </c>
      <c r="C37" s="3">
        <f t="shared" si="2"/>
        <v>1233.3620516330052</v>
      </c>
      <c r="D37" s="3">
        <f t="shared" si="3"/>
        <v>53507.940640342938</v>
      </c>
    </row>
    <row r="38" spans="1:4" x14ac:dyDescent="0.25">
      <c r="A38">
        <f t="shared" si="0"/>
        <v>29</v>
      </c>
      <c r="B38" s="3">
        <f t="shared" si="1"/>
        <v>952.44134339810432</v>
      </c>
      <c r="C38" s="3">
        <f t="shared" si="2"/>
        <v>1255.3158961520726</v>
      </c>
      <c r="D38" s="3">
        <f t="shared" si="3"/>
        <v>52252.624744190864</v>
      </c>
    </row>
    <row r="39" spans="1:4" x14ac:dyDescent="0.25">
      <c r="A39">
        <f t="shared" si="0"/>
        <v>30</v>
      </c>
      <c r="B39" s="3">
        <f t="shared" si="1"/>
        <v>930.09672044659737</v>
      </c>
      <c r="C39" s="3">
        <f t="shared" si="2"/>
        <v>1277.6605191035796</v>
      </c>
      <c r="D39" s="3">
        <f t="shared" si="3"/>
        <v>50974.964225087286</v>
      </c>
    </row>
    <row r="40" spans="1:4" x14ac:dyDescent="0.25">
      <c r="A40">
        <f t="shared" si="0"/>
        <v>31</v>
      </c>
      <c r="B40" s="3">
        <f t="shared" si="1"/>
        <v>907.35436320655367</v>
      </c>
      <c r="C40" s="3">
        <f t="shared" si="2"/>
        <v>1300.4028763436233</v>
      </c>
      <c r="D40" s="3">
        <f t="shared" si="3"/>
        <v>49674.561348743664</v>
      </c>
    </row>
    <row r="41" spans="1:4" x14ac:dyDescent="0.25">
      <c r="A41">
        <f t="shared" si="0"/>
        <v>32</v>
      </c>
      <c r="B41" s="3">
        <f t="shared" si="1"/>
        <v>884.20719200763722</v>
      </c>
      <c r="C41" s="3">
        <f t="shared" si="2"/>
        <v>1323.5500475425397</v>
      </c>
      <c r="D41" s="3">
        <f t="shared" si="3"/>
        <v>48351.011301201128</v>
      </c>
    </row>
    <row r="42" spans="1:4" x14ac:dyDescent="0.25">
      <c r="A42">
        <f t="shared" si="0"/>
        <v>33</v>
      </c>
      <c r="B42" s="3">
        <f t="shared" si="1"/>
        <v>860.64800116138008</v>
      </c>
      <c r="C42" s="3">
        <f t="shared" si="2"/>
        <v>1347.1092383887969</v>
      </c>
      <c r="D42" s="3">
        <f t="shared" si="3"/>
        <v>47003.902062812333</v>
      </c>
    </row>
    <row r="43" spans="1:4" x14ac:dyDescent="0.25">
      <c r="A43">
        <f t="shared" si="0"/>
        <v>34</v>
      </c>
      <c r="B43" s="3">
        <f t="shared" si="1"/>
        <v>836.66945671805956</v>
      </c>
      <c r="C43" s="3">
        <f t="shared" si="2"/>
        <v>1371.0877828321175</v>
      </c>
      <c r="D43" s="3">
        <f t="shared" si="3"/>
        <v>45632.814279980215</v>
      </c>
    </row>
    <row r="44" spans="1:4" x14ac:dyDescent="0.25">
      <c r="A44">
        <f t="shared" si="0"/>
        <v>35</v>
      </c>
      <c r="B44" s="3">
        <f t="shared" si="1"/>
        <v>812.26409418364779</v>
      </c>
      <c r="C44" s="3">
        <f t="shared" si="2"/>
        <v>1395.4931453665292</v>
      </c>
      <c r="D44" s="3">
        <f t="shared" si="3"/>
        <v>44237.321134613689</v>
      </c>
    </row>
    <row r="45" spans="1:4" x14ac:dyDescent="0.25">
      <c r="A45">
        <f t="shared" si="0"/>
        <v>36</v>
      </c>
      <c r="B45" s="3">
        <f t="shared" si="1"/>
        <v>787.42431619612364</v>
      </c>
      <c r="C45" s="3">
        <f t="shared" si="2"/>
        <v>1420.3329233540535</v>
      </c>
      <c r="D45" s="3">
        <f t="shared" si="3"/>
        <v>42816.988211259639</v>
      </c>
    </row>
    <row r="46" spans="1:4" x14ac:dyDescent="0.25">
      <c r="A46">
        <f t="shared" si="0"/>
        <v>37</v>
      </c>
      <c r="B46" s="3">
        <f t="shared" si="1"/>
        <v>762.14239016042154</v>
      </c>
      <c r="C46" s="3">
        <f t="shared" si="2"/>
        <v>1445.6148493897554</v>
      </c>
      <c r="D46" s="3">
        <f t="shared" si="3"/>
        <v>41371.373361869883</v>
      </c>
    </row>
    <row r="47" spans="1:4" x14ac:dyDescent="0.25">
      <c r="A47">
        <f t="shared" si="0"/>
        <v>38</v>
      </c>
      <c r="B47" s="3">
        <f t="shared" si="1"/>
        <v>736.41044584128394</v>
      </c>
      <c r="C47" s="3">
        <f t="shared" si="2"/>
        <v>1471.3467937088931</v>
      </c>
      <c r="D47" s="3">
        <f t="shared" si="3"/>
        <v>39900.026568160989</v>
      </c>
    </row>
    <row r="48" spans="1:4" x14ac:dyDescent="0.25">
      <c r="A48">
        <f t="shared" si="0"/>
        <v>39</v>
      </c>
      <c r="B48" s="3">
        <f t="shared" si="1"/>
        <v>710.22047291326555</v>
      </c>
      <c r="C48" s="3">
        <f t="shared" si="2"/>
        <v>1497.5367666369116</v>
      </c>
      <c r="D48" s="3">
        <f t="shared" si="3"/>
        <v>38402.489801524076</v>
      </c>
    </row>
    <row r="49" spans="1:4" x14ac:dyDescent="0.25">
      <c r="A49">
        <f t="shared" si="0"/>
        <v>40</v>
      </c>
      <c r="B49" s="3">
        <f t="shared" si="1"/>
        <v>683.5643184671286</v>
      </c>
      <c r="C49" s="3">
        <f t="shared" si="2"/>
        <v>1524.1929210830485</v>
      </c>
      <c r="D49" s="3">
        <f t="shared" si="3"/>
        <v>36878.296880441027</v>
      </c>
    </row>
    <row r="50" spans="1:4" x14ac:dyDescent="0.25">
      <c r="A50">
        <f t="shared" si="0"/>
        <v>41</v>
      </c>
      <c r="B50" s="3">
        <f t="shared" si="1"/>
        <v>656.43368447185026</v>
      </c>
      <c r="C50" s="3">
        <f t="shared" si="2"/>
        <v>1551.3235550783268</v>
      </c>
      <c r="D50" s="3">
        <f t="shared" si="3"/>
        <v>35326.973325362698</v>
      </c>
    </row>
    <row r="51" spans="1:4" x14ac:dyDescent="0.25">
      <c r="A51">
        <f t="shared" si="0"/>
        <v>42</v>
      </c>
      <c r="B51" s="3">
        <f t="shared" si="1"/>
        <v>628.82012519145599</v>
      </c>
      <c r="C51" s="3">
        <f t="shared" si="2"/>
        <v>1578.9371143587209</v>
      </c>
      <c r="D51" s="3">
        <f t="shared" si="3"/>
        <v>33748.036211003979</v>
      </c>
    </row>
    <row r="52" spans="1:4" x14ac:dyDescent="0.25">
      <c r="A52">
        <f t="shared" si="0"/>
        <v>43</v>
      </c>
      <c r="B52" s="3">
        <f t="shared" si="1"/>
        <v>600.7150445558708</v>
      </c>
      <c r="C52" s="3">
        <f t="shared" si="2"/>
        <v>1607.0421949943061</v>
      </c>
      <c r="D52" s="3">
        <f t="shared" si="3"/>
        <v>32140.994016009674</v>
      </c>
    </row>
    <row r="53" spans="1:4" x14ac:dyDescent="0.25">
      <c r="A53">
        <f t="shared" si="0"/>
        <v>44</v>
      </c>
      <c r="B53" s="3">
        <f t="shared" si="1"/>
        <v>572.10969348497224</v>
      </c>
      <c r="C53" s="3">
        <f t="shared" si="2"/>
        <v>1635.6475460652048</v>
      </c>
      <c r="D53" s="3">
        <f t="shared" si="3"/>
        <v>30505.34646994447</v>
      </c>
    </row>
    <row r="54" spans="1:4" x14ac:dyDescent="0.25">
      <c r="A54">
        <f t="shared" si="0"/>
        <v>45</v>
      </c>
      <c r="B54" s="3">
        <f t="shared" si="1"/>
        <v>542.99516716501159</v>
      </c>
      <c r="C54" s="3">
        <f t="shared" si="2"/>
        <v>1664.7620723851655</v>
      </c>
      <c r="D54" s="3">
        <f t="shared" si="3"/>
        <v>28840.584397559305</v>
      </c>
    </row>
    <row r="55" spans="1:4" x14ac:dyDescent="0.25">
      <c r="A55">
        <f t="shared" si="0"/>
        <v>46</v>
      </c>
      <c r="B55" s="3">
        <f t="shared" si="1"/>
        <v>513.3624022765556</v>
      </c>
      <c r="C55" s="3">
        <f t="shared" si="2"/>
        <v>1694.3948372736213</v>
      </c>
      <c r="D55" s="3">
        <f t="shared" si="3"/>
        <v>27146.189560285682</v>
      </c>
    </row>
    <row r="56" spans="1:4" x14ac:dyDescent="0.25">
      <c r="A56">
        <f t="shared" si="0"/>
        <v>47</v>
      </c>
      <c r="B56" s="3">
        <f t="shared" si="1"/>
        <v>483.20217417308515</v>
      </c>
      <c r="C56" s="3">
        <f t="shared" si="2"/>
        <v>1724.555065377092</v>
      </c>
      <c r="D56" s="3">
        <f t="shared" si="3"/>
        <v>25421.634494908591</v>
      </c>
    </row>
    <row r="57" spans="1:4" x14ac:dyDescent="0.25">
      <c r="A57">
        <f t="shared" si="0"/>
        <v>48</v>
      </c>
      <c r="B57" s="3">
        <f t="shared" si="1"/>
        <v>452.5050940093729</v>
      </c>
      <c r="C57" s="3">
        <f t="shared" si="2"/>
        <v>1755.2521455408041</v>
      </c>
      <c r="D57" s="3">
        <f t="shared" si="3"/>
        <v>23666.382349367785</v>
      </c>
    </row>
    <row r="58" spans="1:4" x14ac:dyDescent="0.25">
      <c r="A58">
        <f t="shared" si="0"/>
        <v>49</v>
      </c>
      <c r="B58" s="3">
        <f t="shared" si="1"/>
        <v>421.26160581874655</v>
      </c>
      <c r="C58" s="3">
        <f t="shared" si="2"/>
        <v>1786.4956337314304</v>
      </c>
      <c r="D58" s="3">
        <f t="shared" si="3"/>
        <v>21879.886715636356</v>
      </c>
    </row>
    <row r="59" spans="1:4" x14ac:dyDescent="0.25">
      <c r="A59">
        <f t="shared" si="0"/>
        <v>50</v>
      </c>
      <c r="B59" s="3">
        <f t="shared" si="1"/>
        <v>389.4619835383271</v>
      </c>
      <c r="C59" s="3">
        <f t="shared" si="2"/>
        <v>1818.2952560118499</v>
      </c>
      <c r="D59" s="3">
        <f t="shared" si="3"/>
        <v>20061.591459624506</v>
      </c>
    </row>
    <row r="60" spans="1:4" x14ac:dyDescent="0.25">
      <c r="A60">
        <f t="shared" si="0"/>
        <v>51</v>
      </c>
      <c r="B60" s="3">
        <f t="shared" si="1"/>
        <v>357.09632798131622</v>
      </c>
      <c r="C60" s="3">
        <f t="shared" si="2"/>
        <v>1850.6609115688607</v>
      </c>
      <c r="D60" s="3">
        <f t="shared" si="3"/>
        <v>18210.930548055643</v>
      </c>
    </row>
    <row r="61" spans="1:4" x14ac:dyDescent="0.25">
      <c r="A61">
        <f t="shared" si="0"/>
        <v>52</v>
      </c>
      <c r="B61" s="3">
        <f t="shared" si="1"/>
        <v>324.15456375539043</v>
      </c>
      <c r="C61" s="3">
        <f t="shared" si="2"/>
        <v>1883.6026757947866</v>
      </c>
      <c r="D61" s="3">
        <f t="shared" si="3"/>
        <v>16327.327872260856</v>
      </c>
    </row>
    <row r="62" spans="1:4" x14ac:dyDescent="0.25">
      <c r="A62">
        <f t="shared" si="0"/>
        <v>53</v>
      </c>
      <c r="B62" s="3">
        <f t="shared" si="1"/>
        <v>290.62643612624322</v>
      </c>
      <c r="C62" s="3">
        <f t="shared" si="2"/>
        <v>1917.1308034239337</v>
      </c>
      <c r="D62" s="3">
        <f t="shared" si="3"/>
        <v>14410.197068836922</v>
      </c>
    </row>
    <row r="63" spans="1:4" x14ac:dyDescent="0.25">
      <c r="A63">
        <f t="shared" si="0"/>
        <v>54</v>
      </c>
      <c r="B63" s="3">
        <f t="shared" si="1"/>
        <v>256.50150782529721</v>
      </c>
      <c r="C63" s="3">
        <f t="shared" si="2"/>
        <v>1951.2557317248798</v>
      </c>
      <c r="D63" s="3">
        <f t="shared" si="3"/>
        <v>12458.941337112043</v>
      </c>
    </row>
    <row r="64" spans="1:4" x14ac:dyDescent="0.25">
      <c r="A64">
        <f t="shared" si="0"/>
        <v>55</v>
      </c>
      <c r="B64" s="3">
        <f t="shared" si="1"/>
        <v>221.76915580059435</v>
      </c>
      <c r="C64" s="3">
        <f t="shared" si="2"/>
        <v>1985.9880837495828</v>
      </c>
      <c r="D64" s="3">
        <f t="shared" si="3"/>
        <v>10472.953253362461</v>
      </c>
    </row>
    <row r="65" spans="1:4" x14ac:dyDescent="0.25">
      <c r="A65">
        <f t="shared" si="0"/>
        <v>56</v>
      </c>
      <c r="B65" s="3">
        <f t="shared" si="1"/>
        <v>186.41856790985179</v>
      </c>
      <c r="C65" s="3">
        <f t="shared" si="2"/>
        <v>2021.3386716403252</v>
      </c>
      <c r="D65" s="3">
        <f t="shared" si="3"/>
        <v>8451.614581722135</v>
      </c>
    </row>
    <row r="66" spans="1:4" x14ac:dyDescent="0.25">
      <c r="A66">
        <f t="shared" si="0"/>
        <v>57</v>
      </c>
      <c r="B66" s="3">
        <f t="shared" si="1"/>
        <v>150.43873955465401</v>
      </c>
      <c r="C66" s="3">
        <f t="shared" si="2"/>
        <v>2057.3184999955229</v>
      </c>
      <c r="D66" s="3">
        <f t="shared" si="3"/>
        <v>6394.2960817266121</v>
      </c>
    </row>
    <row r="67" spans="1:4" x14ac:dyDescent="0.25">
      <c r="A67">
        <f t="shared" si="0"/>
        <v>58</v>
      </c>
      <c r="B67" s="3">
        <f t="shared" si="1"/>
        <v>113.8184702547337</v>
      </c>
      <c r="C67" s="3">
        <f t="shared" si="2"/>
        <v>2093.9387692954433</v>
      </c>
      <c r="D67" s="3">
        <f t="shared" si="3"/>
        <v>4300.3573124311688</v>
      </c>
    </row>
    <row r="68" spans="1:4" x14ac:dyDescent="0.25">
      <c r="A68">
        <f t="shared" si="0"/>
        <v>59</v>
      </c>
      <c r="B68" s="3">
        <f t="shared" si="1"/>
        <v>76.546360161274805</v>
      </c>
      <c r="C68" s="3">
        <f t="shared" si="2"/>
        <v>2131.2108793889024</v>
      </c>
      <c r="D68" s="3">
        <f t="shared" si="3"/>
        <v>2169.1464330422664</v>
      </c>
    </row>
    <row r="69" spans="1:4" x14ac:dyDescent="0.25">
      <c r="A69">
        <f t="shared" si="0"/>
        <v>60</v>
      </c>
      <c r="B69" s="3">
        <f t="shared" si="1"/>
        <v>38.610806508152343</v>
      </c>
      <c r="C69" s="3">
        <f t="shared" si="2"/>
        <v>2169.1464330420245</v>
      </c>
      <c r="D69" s="3">
        <f t="shared" si="3"/>
        <v>2.4192559067159891E-10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2026-06-26T05:45:40Z</dcterms:created>
  <dcterms:modified xsi:type="dcterms:W3CDTF">2026-06-26T08:03:18Z</dcterms:modified>
</cp:coreProperties>
</file>