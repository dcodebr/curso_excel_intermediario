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\Senat\curso_excel_intermediario\"/>
    </mc:Choice>
  </mc:AlternateContent>
  <xr:revisionPtr revIDLastSave="0" documentId="13_ncr:1_{3547AD7C-917E-4FE9-8145-157EC677E1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4" sheetId="5" r:id="rId1"/>
    <sheet name="Parcelas Vencidas" sheetId="1" r:id="rId2"/>
    <sheet name="Planilha1" sheetId="2" r:id="rId3"/>
  </sheets>
  <definedNames>
    <definedName name="_xlcn.WorksheetConnection_ParcelasVencidasA3S3031" hidden="1">'Parcelas Vencidas'!$A$3:$S$303</definedName>
  </definedNames>
  <calcPr calcId="181029"/>
  <pivotCaches>
    <pivotCache cacheId="73" r:id="rId4"/>
  </pivotCaches>
  <extLst>
    <ext xmlns:x15="http://schemas.microsoft.com/office/spreadsheetml/2010/11/main" uri="{FCE2AD5D-F65C-4FA6-A056-5C36A1767C68}">
      <x15:dataModel>
        <x15:modelTables>
          <x15:modelTable id="Intervalo" name="Intervalo" connection="WorksheetConnection_Parcelas Vencidas!$A$3:$S$303"/>
        </x15:modelTables>
      </x15:dataModel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4" i="1"/>
  <c r="B2" i="2"/>
  <c r="C3" i="2" s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4" i="1"/>
  <c r="I4" i="1"/>
  <c r="J91" i="1" s="1"/>
  <c r="P91" i="1" s="1"/>
  <c r="S91" i="1" s="1"/>
  <c r="H3" i="2" l="1"/>
  <c r="G3" i="2"/>
  <c r="F3" i="2"/>
  <c r="E3" i="2"/>
  <c r="K91" i="1"/>
  <c r="L91" i="1" s="1"/>
  <c r="N91" i="1"/>
  <c r="J275" i="1"/>
  <c r="P275" i="1" s="1"/>
  <c r="S275" i="1" s="1"/>
  <c r="J155" i="1"/>
  <c r="P155" i="1" s="1"/>
  <c r="S155" i="1" s="1"/>
  <c r="J272" i="1"/>
  <c r="P272" i="1" s="1"/>
  <c r="S272" i="1" s="1"/>
  <c r="J4" i="1"/>
  <c r="P4" i="1" s="1"/>
  <c r="S4" i="1" s="1"/>
  <c r="J267" i="1"/>
  <c r="P267" i="1" s="1"/>
  <c r="S267" i="1" s="1"/>
  <c r="J203" i="1"/>
  <c r="P203" i="1" s="1"/>
  <c r="S203" i="1" s="1"/>
  <c r="J139" i="1"/>
  <c r="P139" i="1" s="1"/>
  <c r="S139" i="1" s="1"/>
  <c r="J259" i="1"/>
  <c r="P259" i="1" s="1"/>
  <c r="S259" i="1" s="1"/>
  <c r="J195" i="1"/>
  <c r="P195" i="1" s="1"/>
  <c r="S195" i="1" s="1"/>
  <c r="J131" i="1"/>
  <c r="P131" i="1" s="1"/>
  <c r="S131" i="1" s="1"/>
  <c r="J219" i="1"/>
  <c r="P219" i="1" s="1"/>
  <c r="S219" i="1" s="1"/>
  <c r="J83" i="1"/>
  <c r="P83" i="1" s="1"/>
  <c r="S83" i="1" s="1"/>
  <c r="J211" i="1"/>
  <c r="P211" i="1" s="1"/>
  <c r="S211" i="1" s="1"/>
  <c r="J147" i="1"/>
  <c r="P147" i="1" s="1"/>
  <c r="S147" i="1" s="1"/>
  <c r="J115" i="1"/>
  <c r="P115" i="1" s="1"/>
  <c r="S115" i="1" s="1"/>
  <c r="J251" i="1"/>
  <c r="P251" i="1" s="1"/>
  <c r="S251" i="1" s="1"/>
  <c r="J187" i="1"/>
  <c r="P187" i="1" s="1"/>
  <c r="S187" i="1" s="1"/>
  <c r="J123" i="1"/>
  <c r="P123" i="1" s="1"/>
  <c r="S123" i="1" s="1"/>
  <c r="J299" i="1"/>
  <c r="P299" i="1" s="1"/>
  <c r="S299" i="1" s="1"/>
  <c r="J243" i="1"/>
  <c r="P243" i="1" s="1"/>
  <c r="S243" i="1" s="1"/>
  <c r="J179" i="1"/>
  <c r="P179" i="1" s="1"/>
  <c r="S179" i="1" s="1"/>
  <c r="J291" i="1"/>
  <c r="P291" i="1" s="1"/>
  <c r="S291" i="1" s="1"/>
  <c r="J235" i="1"/>
  <c r="P235" i="1" s="1"/>
  <c r="S235" i="1" s="1"/>
  <c r="J171" i="1"/>
  <c r="P171" i="1" s="1"/>
  <c r="S171" i="1" s="1"/>
  <c r="J107" i="1"/>
  <c r="P107" i="1" s="1"/>
  <c r="S107" i="1" s="1"/>
  <c r="J283" i="1"/>
  <c r="P283" i="1" s="1"/>
  <c r="S283" i="1" s="1"/>
  <c r="J227" i="1"/>
  <c r="P227" i="1" s="1"/>
  <c r="S227" i="1" s="1"/>
  <c r="J163" i="1"/>
  <c r="P163" i="1" s="1"/>
  <c r="S163" i="1" s="1"/>
  <c r="J75" i="1"/>
  <c r="P75" i="1" s="1"/>
  <c r="S75" i="1" s="1"/>
  <c r="J35" i="1"/>
  <c r="P35" i="1" s="1"/>
  <c r="S35" i="1" s="1"/>
  <c r="J290" i="1"/>
  <c r="P290" i="1" s="1"/>
  <c r="S290" i="1" s="1"/>
  <c r="J289" i="1"/>
  <c r="P289" i="1" s="1"/>
  <c r="S289" i="1" s="1"/>
  <c r="J241" i="1"/>
  <c r="P241" i="1" s="1"/>
  <c r="S241" i="1" s="1"/>
  <c r="J201" i="1"/>
  <c r="P201" i="1" s="1"/>
  <c r="S201" i="1" s="1"/>
  <c r="J300" i="1"/>
  <c r="P300" i="1" s="1"/>
  <c r="S300" i="1" s="1"/>
  <c r="J292" i="1"/>
  <c r="P292" i="1" s="1"/>
  <c r="S292" i="1" s="1"/>
  <c r="J284" i="1"/>
  <c r="P284" i="1" s="1"/>
  <c r="S284" i="1" s="1"/>
  <c r="J276" i="1"/>
  <c r="P276" i="1" s="1"/>
  <c r="S276" i="1" s="1"/>
  <c r="J268" i="1"/>
  <c r="P268" i="1" s="1"/>
  <c r="S268" i="1" s="1"/>
  <c r="J260" i="1"/>
  <c r="P260" i="1" s="1"/>
  <c r="S260" i="1" s="1"/>
  <c r="J252" i="1"/>
  <c r="P252" i="1" s="1"/>
  <c r="S252" i="1" s="1"/>
  <c r="J244" i="1"/>
  <c r="P244" i="1" s="1"/>
  <c r="S244" i="1" s="1"/>
  <c r="J236" i="1"/>
  <c r="P236" i="1" s="1"/>
  <c r="S236" i="1" s="1"/>
  <c r="J228" i="1"/>
  <c r="P228" i="1" s="1"/>
  <c r="S228" i="1" s="1"/>
  <c r="J220" i="1"/>
  <c r="P220" i="1" s="1"/>
  <c r="S220" i="1" s="1"/>
  <c r="J212" i="1"/>
  <c r="P212" i="1" s="1"/>
  <c r="S212" i="1" s="1"/>
  <c r="J204" i="1"/>
  <c r="P204" i="1" s="1"/>
  <c r="S204" i="1" s="1"/>
  <c r="J196" i="1"/>
  <c r="P196" i="1" s="1"/>
  <c r="S196" i="1" s="1"/>
  <c r="J188" i="1"/>
  <c r="P188" i="1" s="1"/>
  <c r="S188" i="1" s="1"/>
  <c r="J180" i="1"/>
  <c r="P180" i="1" s="1"/>
  <c r="S180" i="1" s="1"/>
  <c r="J172" i="1"/>
  <c r="P172" i="1" s="1"/>
  <c r="S172" i="1" s="1"/>
  <c r="J164" i="1"/>
  <c r="P164" i="1" s="1"/>
  <c r="S164" i="1" s="1"/>
  <c r="J156" i="1"/>
  <c r="P156" i="1" s="1"/>
  <c r="S156" i="1" s="1"/>
  <c r="J148" i="1"/>
  <c r="P148" i="1" s="1"/>
  <c r="S148" i="1" s="1"/>
  <c r="J140" i="1"/>
  <c r="P140" i="1" s="1"/>
  <c r="S140" i="1" s="1"/>
  <c r="J132" i="1"/>
  <c r="P132" i="1" s="1"/>
  <c r="S132" i="1" s="1"/>
  <c r="J124" i="1"/>
  <c r="P124" i="1" s="1"/>
  <c r="S124" i="1" s="1"/>
  <c r="J116" i="1"/>
  <c r="P116" i="1" s="1"/>
  <c r="S116" i="1" s="1"/>
  <c r="J108" i="1"/>
  <c r="P108" i="1" s="1"/>
  <c r="S108" i="1" s="1"/>
  <c r="J100" i="1"/>
  <c r="P100" i="1" s="1"/>
  <c r="S100" i="1" s="1"/>
  <c r="J92" i="1"/>
  <c r="P92" i="1" s="1"/>
  <c r="S92" i="1" s="1"/>
  <c r="J84" i="1"/>
  <c r="P84" i="1" s="1"/>
  <c r="S84" i="1" s="1"/>
  <c r="J76" i="1"/>
  <c r="P76" i="1" s="1"/>
  <c r="S76" i="1" s="1"/>
  <c r="J68" i="1"/>
  <c r="P68" i="1" s="1"/>
  <c r="S68" i="1" s="1"/>
  <c r="J60" i="1"/>
  <c r="P60" i="1" s="1"/>
  <c r="S60" i="1" s="1"/>
  <c r="J52" i="1"/>
  <c r="P52" i="1" s="1"/>
  <c r="S52" i="1" s="1"/>
  <c r="J44" i="1"/>
  <c r="P44" i="1" s="1"/>
  <c r="S44" i="1" s="1"/>
  <c r="J36" i="1"/>
  <c r="P36" i="1" s="1"/>
  <c r="S36" i="1" s="1"/>
  <c r="J28" i="1"/>
  <c r="P28" i="1" s="1"/>
  <c r="S28" i="1" s="1"/>
  <c r="J20" i="1"/>
  <c r="P20" i="1" s="1"/>
  <c r="S20" i="1" s="1"/>
  <c r="J12" i="1"/>
  <c r="P12" i="1" s="1"/>
  <c r="S12" i="1" s="1"/>
  <c r="J27" i="1"/>
  <c r="P27" i="1" s="1"/>
  <c r="S27" i="1" s="1"/>
  <c r="J282" i="1"/>
  <c r="P282" i="1" s="1"/>
  <c r="S282" i="1" s="1"/>
  <c r="J266" i="1"/>
  <c r="P266" i="1" s="1"/>
  <c r="S266" i="1" s="1"/>
  <c r="J258" i="1"/>
  <c r="P258" i="1" s="1"/>
  <c r="S258" i="1" s="1"/>
  <c r="J250" i="1"/>
  <c r="P250" i="1" s="1"/>
  <c r="S250" i="1" s="1"/>
  <c r="J242" i="1"/>
  <c r="P242" i="1" s="1"/>
  <c r="S242" i="1" s="1"/>
  <c r="J234" i="1"/>
  <c r="P234" i="1" s="1"/>
  <c r="S234" i="1" s="1"/>
  <c r="J226" i="1"/>
  <c r="P226" i="1" s="1"/>
  <c r="S226" i="1" s="1"/>
  <c r="J218" i="1"/>
  <c r="P218" i="1" s="1"/>
  <c r="S218" i="1" s="1"/>
  <c r="J210" i="1"/>
  <c r="P210" i="1" s="1"/>
  <c r="S210" i="1" s="1"/>
  <c r="J202" i="1"/>
  <c r="P202" i="1" s="1"/>
  <c r="S202" i="1" s="1"/>
  <c r="J194" i="1"/>
  <c r="P194" i="1" s="1"/>
  <c r="S194" i="1" s="1"/>
  <c r="J186" i="1"/>
  <c r="P186" i="1" s="1"/>
  <c r="S186" i="1" s="1"/>
  <c r="J178" i="1"/>
  <c r="P178" i="1" s="1"/>
  <c r="S178" i="1" s="1"/>
  <c r="J170" i="1"/>
  <c r="P170" i="1" s="1"/>
  <c r="S170" i="1" s="1"/>
  <c r="J162" i="1"/>
  <c r="P162" i="1" s="1"/>
  <c r="S162" i="1" s="1"/>
  <c r="J154" i="1"/>
  <c r="P154" i="1" s="1"/>
  <c r="S154" i="1" s="1"/>
  <c r="J146" i="1"/>
  <c r="P146" i="1" s="1"/>
  <c r="S146" i="1" s="1"/>
  <c r="J138" i="1"/>
  <c r="P138" i="1" s="1"/>
  <c r="S138" i="1" s="1"/>
  <c r="J130" i="1"/>
  <c r="P130" i="1" s="1"/>
  <c r="S130" i="1" s="1"/>
  <c r="J122" i="1"/>
  <c r="P122" i="1" s="1"/>
  <c r="S122" i="1" s="1"/>
  <c r="J114" i="1"/>
  <c r="P114" i="1" s="1"/>
  <c r="S114" i="1" s="1"/>
  <c r="J106" i="1"/>
  <c r="P106" i="1" s="1"/>
  <c r="S106" i="1" s="1"/>
  <c r="J98" i="1"/>
  <c r="P98" i="1" s="1"/>
  <c r="S98" i="1" s="1"/>
  <c r="J90" i="1"/>
  <c r="P90" i="1" s="1"/>
  <c r="S90" i="1" s="1"/>
  <c r="J82" i="1"/>
  <c r="P82" i="1" s="1"/>
  <c r="S82" i="1" s="1"/>
  <c r="J74" i="1"/>
  <c r="P74" i="1" s="1"/>
  <c r="S74" i="1" s="1"/>
  <c r="J66" i="1"/>
  <c r="P66" i="1" s="1"/>
  <c r="S66" i="1" s="1"/>
  <c r="J58" i="1"/>
  <c r="P58" i="1" s="1"/>
  <c r="S58" i="1" s="1"/>
  <c r="J50" i="1"/>
  <c r="P50" i="1" s="1"/>
  <c r="S50" i="1" s="1"/>
  <c r="J42" i="1"/>
  <c r="P42" i="1" s="1"/>
  <c r="S42" i="1" s="1"/>
  <c r="J34" i="1"/>
  <c r="P34" i="1" s="1"/>
  <c r="S34" i="1" s="1"/>
  <c r="J26" i="1"/>
  <c r="P26" i="1" s="1"/>
  <c r="S26" i="1" s="1"/>
  <c r="J18" i="1"/>
  <c r="P18" i="1" s="1"/>
  <c r="S18" i="1" s="1"/>
  <c r="J10" i="1"/>
  <c r="P10" i="1" s="1"/>
  <c r="S10" i="1" s="1"/>
  <c r="J99" i="1"/>
  <c r="P99" i="1" s="1"/>
  <c r="S99" i="1" s="1"/>
  <c r="J67" i="1"/>
  <c r="P67" i="1" s="1"/>
  <c r="S67" i="1" s="1"/>
  <c r="J59" i="1"/>
  <c r="P59" i="1" s="1"/>
  <c r="S59" i="1" s="1"/>
  <c r="J51" i="1"/>
  <c r="P51" i="1" s="1"/>
  <c r="S51" i="1" s="1"/>
  <c r="J43" i="1"/>
  <c r="P43" i="1" s="1"/>
  <c r="S43" i="1" s="1"/>
  <c r="J298" i="1"/>
  <c r="P298" i="1" s="1"/>
  <c r="S298" i="1" s="1"/>
  <c r="J281" i="1"/>
  <c r="P281" i="1" s="1"/>
  <c r="S281" i="1" s="1"/>
  <c r="J249" i="1"/>
  <c r="P249" i="1" s="1"/>
  <c r="S249" i="1" s="1"/>
  <c r="J225" i="1"/>
  <c r="P225" i="1" s="1"/>
  <c r="S225" i="1" s="1"/>
  <c r="J209" i="1"/>
  <c r="P209" i="1" s="1"/>
  <c r="S209" i="1" s="1"/>
  <c r="J193" i="1"/>
  <c r="P193" i="1" s="1"/>
  <c r="S193" i="1" s="1"/>
  <c r="J169" i="1"/>
  <c r="P169" i="1" s="1"/>
  <c r="S169" i="1" s="1"/>
  <c r="J161" i="1"/>
  <c r="P161" i="1" s="1"/>
  <c r="S161" i="1" s="1"/>
  <c r="J153" i="1"/>
  <c r="P153" i="1" s="1"/>
  <c r="S153" i="1" s="1"/>
  <c r="J145" i="1"/>
  <c r="P145" i="1" s="1"/>
  <c r="S145" i="1" s="1"/>
  <c r="J137" i="1"/>
  <c r="P137" i="1" s="1"/>
  <c r="S137" i="1" s="1"/>
  <c r="J129" i="1"/>
  <c r="P129" i="1" s="1"/>
  <c r="S129" i="1" s="1"/>
  <c r="J121" i="1"/>
  <c r="P121" i="1" s="1"/>
  <c r="S121" i="1" s="1"/>
  <c r="J113" i="1"/>
  <c r="P113" i="1" s="1"/>
  <c r="S113" i="1" s="1"/>
  <c r="J105" i="1"/>
  <c r="P105" i="1" s="1"/>
  <c r="S105" i="1" s="1"/>
  <c r="J97" i="1"/>
  <c r="P97" i="1" s="1"/>
  <c r="S97" i="1" s="1"/>
  <c r="J89" i="1"/>
  <c r="P89" i="1" s="1"/>
  <c r="S89" i="1" s="1"/>
  <c r="J81" i="1"/>
  <c r="P81" i="1" s="1"/>
  <c r="S81" i="1" s="1"/>
  <c r="J73" i="1"/>
  <c r="P73" i="1" s="1"/>
  <c r="S73" i="1" s="1"/>
  <c r="J65" i="1"/>
  <c r="P65" i="1" s="1"/>
  <c r="S65" i="1" s="1"/>
  <c r="J57" i="1"/>
  <c r="P57" i="1" s="1"/>
  <c r="S57" i="1" s="1"/>
  <c r="J49" i="1"/>
  <c r="P49" i="1" s="1"/>
  <c r="S49" i="1" s="1"/>
  <c r="J41" i="1"/>
  <c r="P41" i="1" s="1"/>
  <c r="S41" i="1" s="1"/>
  <c r="J33" i="1"/>
  <c r="P33" i="1" s="1"/>
  <c r="S33" i="1" s="1"/>
  <c r="J25" i="1"/>
  <c r="P25" i="1" s="1"/>
  <c r="S25" i="1" s="1"/>
  <c r="J17" i="1"/>
  <c r="P17" i="1" s="1"/>
  <c r="S17" i="1" s="1"/>
  <c r="J9" i="1"/>
  <c r="P9" i="1" s="1"/>
  <c r="S9" i="1" s="1"/>
  <c r="J288" i="1"/>
  <c r="P288" i="1" s="1"/>
  <c r="S288" i="1" s="1"/>
  <c r="J264" i="1"/>
  <c r="P264" i="1" s="1"/>
  <c r="S264" i="1" s="1"/>
  <c r="J248" i="1"/>
  <c r="P248" i="1" s="1"/>
  <c r="S248" i="1" s="1"/>
  <c r="J240" i="1"/>
  <c r="P240" i="1" s="1"/>
  <c r="S240" i="1" s="1"/>
  <c r="J232" i="1"/>
  <c r="P232" i="1" s="1"/>
  <c r="S232" i="1" s="1"/>
  <c r="J224" i="1"/>
  <c r="P224" i="1" s="1"/>
  <c r="S224" i="1" s="1"/>
  <c r="J216" i="1"/>
  <c r="P216" i="1" s="1"/>
  <c r="S216" i="1" s="1"/>
  <c r="J192" i="1"/>
  <c r="P192" i="1" s="1"/>
  <c r="S192" i="1" s="1"/>
  <c r="J176" i="1"/>
  <c r="P176" i="1" s="1"/>
  <c r="S176" i="1" s="1"/>
  <c r="J168" i="1"/>
  <c r="P168" i="1" s="1"/>
  <c r="S168" i="1" s="1"/>
  <c r="J160" i="1"/>
  <c r="P160" i="1" s="1"/>
  <c r="S160" i="1" s="1"/>
  <c r="J152" i="1"/>
  <c r="P152" i="1" s="1"/>
  <c r="S152" i="1" s="1"/>
  <c r="J144" i="1"/>
  <c r="P144" i="1" s="1"/>
  <c r="S144" i="1" s="1"/>
  <c r="J136" i="1"/>
  <c r="P136" i="1" s="1"/>
  <c r="S136" i="1" s="1"/>
  <c r="J128" i="1"/>
  <c r="P128" i="1" s="1"/>
  <c r="S128" i="1" s="1"/>
  <c r="J120" i="1"/>
  <c r="P120" i="1" s="1"/>
  <c r="S120" i="1" s="1"/>
  <c r="J112" i="1"/>
  <c r="P112" i="1" s="1"/>
  <c r="S112" i="1" s="1"/>
  <c r="J104" i="1"/>
  <c r="P104" i="1" s="1"/>
  <c r="S104" i="1" s="1"/>
  <c r="J96" i="1"/>
  <c r="P96" i="1" s="1"/>
  <c r="S96" i="1" s="1"/>
  <c r="J88" i="1"/>
  <c r="P88" i="1" s="1"/>
  <c r="S88" i="1" s="1"/>
  <c r="J80" i="1"/>
  <c r="P80" i="1" s="1"/>
  <c r="S80" i="1" s="1"/>
  <c r="J72" i="1"/>
  <c r="P72" i="1" s="1"/>
  <c r="S72" i="1" s="1"/>
  <c r="J64" i="1"/>
  <c r="P64" i="1" s="1"/>
  <c r="S64" i="1" s="1"/>
  <c r="J56" i="1"/>
  <c r="P56" i="1" s="1"/>
  <c r="S56" i="1" s="1"/>
  <c r="J48" i="1"/>
  <c r="P48" i="1" s="1"/>
  <c r="S48" i="1" s="1"/>
  <c r="J40" i="1"/>
  <c r="P40" i="1" s="1"/>
  <c r="S40" i="1" s="1"/>
  <c r="J32" i="1"/>
  <c r="P32" i="1" s="1"/>
  <c r="S32" i="1" s="1"/>
  <c r="J24" i="1"/>
  <c r="P24" i="1" s="1"/>
  <c r="S24" i="1" s="1"/>
  <c r="J16" i="1"/>
  <c r="P16" i="1" s="1"/>
  <c r="S16" i="1" s="1"/>
  <c r="J8" i="1"/>
  <c r="P8" i="1" s="1"/>
  <c r="S8" i="1" s="1"/>
  <c r="J19" i="1"/>
  <c r="P19" i="1" s="1"/>
  <c r="S19" i="1" s="1"/>
  <c r="J274" i="1"/>
  <c r="P274" i="1" s="1"/>
  <c r="S274" i="1" s="1"/>
  <c r="J297" i="1"/>
  <c r="P297" i="1" s="1"/>
  <c r="S297" i="1" s="1"/>
  <c r="J273" i="1"/>
  <c r="P273" i="1" s="1"/>
  <c r="S273" i="1" s="1"/>
  <c r="J257" i="1"/>
  <c r="P257" i="1" s="1"/>
  <c r="S257" i="1" s="1"/>
  <c r="J233" i="1"/>
  <c r="P233" i="1" s="1"/>
  <c r="S233" i="1" s="1"/>
  <c r="J217" i="1"/>
  <c r="P217" i="1" s="1"/>
  <c r="S217" i="1" s="1"/>
  <c r="J177" i="1"/>
  <c r="P177" i="1" s="1"/>
  <c r="S177" i="1" s="1"/>
  <c r="J280" i="1"/>
  <c r="P280" i="1" s="1"/>
  <c r="S280" i="1" s="1"/>
  <c r="J208" i="1"/>
  <c r="P208" i="1" s="1"/>
  <c r="S208" i="1" s="1"/>
  <c r="J295" i="1"/>
  <c r="P295" i="1" s="1"/>
  <c r="S295" i="1" s="1"/>
  <c r="J263" i="1"/>
  <c r="P263" i="1" s="1"/>
  <c r="S263" i="1" s="1"/>
  <c r="J231" i="1"/>
  <c r="P231" i="1" s="1"/>
  <c r="S231" i="1" s="1"/>
  <c r="J207" i="1"/>
  <c r="P207" i="1" s="1"/>
  <c r="S207" i="1" s="1"/>
  <c r="J183" i="1"/>
  <c r="P183" i="1" s="1"/>
  <c r="S183" i="1" s="1"/>
  <c r="J143" i="1"/>
  <c r="P143" i="1" s="1"/>
  <c r="S143" i="1" s="1"/>
  <c r="J87" i="1"/>
  <c r="P87" i="1" s="1"/>
  <c r="S87" i="1" s="1"/>
  <c r="J7" i="1"/>
  <c r="P7" i="1" s="1"/>
  <c r="S7" i="1" s="1"/>
  <c r="J11" i="1"/>
  <c r="P11" i="1" s="1"/>
  <c r="S11" i="1" s="1"/>
  <c r="J265" i="1"/>
  <c r="P265" i="1" s="1"/>
  <c r="S265" i="1" s="1"/>
  <c r="J185" i="1"/>
  <c r="P185" i="1" s="1"/>
  <c r="S185" i="1" s="1"/>
  <c r="J296" i="1"/>
  <c r="P296" i="1" s="1"/>
  <c r="S296" i="1" s="1"/>
  <c r="J256" i="1"/>
  <c r="P256" i="1" s="1"/>
  <c r="S256" i="1" s="1"/>
  <c r="J184" i="1"/>
  <c r="P184" i="1" s="1"/>
  <c r="S184" i="1" s="1"/>
  <c r="J287" i="1"/>
  <c r="P287" i="1" s="1"/>
  <c r="S287" i="1" s="1"/>
  <c r="J271" i="1"/>
  <c r="P271" i="1" s="1"/>
  <c r="S271" i="1" s="1"/>
  <c r="J247" i="1"/>
  <c r="P247" i="1" s="1"/>
  <c r="S247" i="1" s="1"/>
  <c r="J215" i="1"/>
  <c r="P215" i="1" s="1"/>
  <c r="S215" i="1" s="1"/>
  <c r="J199" i="1"/>
  <c r="P199" i="1" s="1"/>
  <c r="S199" i="1" s="1"/>
  <c r="J175" i="1"/>
  <c r="P175" i="1" s="1"/>
  <c r="S175" i="1" s="1"/>
  <c r="J151" i="1"/>
  <c r="P151" i="1" s="1"/>
  <c r="S151" i="1" s="1"/>
  <c r="J127" i="1"/>
  <c r="P127" i="1" s="1"/>
  <c r="S127" i="1" s="1"/>
  <c r="J111" i="1"/>
  <c r="P111" i="1" s="1"/>
  <c r="S111" i="1" s="1"/>
  <c r="J95" i="1"/>
  <c r="P95" i="1" s="1"/>
  <c r="S95" i="1" s="1"/>
  <c r="J71" i="1"/>
  <c r="P71" i="1" s="1"/>
  <c r="S71" i="1" s="1"/>
  <c r="J55" i="1"/>
  <c r="P55" i="1" s="1"/>
  <c r="S55" i="1" s="1"/>
  <c r="J47" i="1"/>
  <c r="P47" i="1" s="1"/>
  <c r="S47" i="1" s="1"/>
  <c r="J39" i="1"/>
  <c r="P39" i="1" s="1"/>
  <c r="S39" i="1" s="1"/>
  <c r="J31" i="1"/>
  <c r="P31" i="1" s="1"/>
  <c r="S31" i="1" s="1"/>
  <c r="J23" i="1"/>
  <c r="P23" i="1" s="1"/>
  <c r="S23" i="1" s="1"/>
  <c r="J294" i="1"/>
  <c r="P294" i="1" s="1"/>
  <c r="S294" i="1" s="1"/>
  <c r="J270" i="1"/>
  <c r="P270" i="1" s="1"/>
  <c r="S270" i="1" s="1"/>
  <c r="J246" i="1"/>
  <c r="P246" i="1" s="1"/>
  <c r="S246" i="1" s="1"/>
  <c r="J214" i="1"/>
  <c r="P214" i="1" s="1"/>
  <c r="S214" i="1" s="1"/>
  <c r="J150" i="1"/>
  <c r="P150" i="1" s="1"/>
  <c r="S150" i="1" s="1"/>
  <c r="J14" i="1"/>
  <c r="P14" i="1" s="1"/>
  <c r="S14" i="1" s="1"/>
  <c r="J200" i="1"/>
  <c r="P200" i="1" s="1"/>
  <c r="S200" i="1" s="1"/>
  <c r="J303" i="1"/>
  <c r="P303" i="1" s="1"/>
  <c r="S303" i="1" s="1"/>
  <c r="J279" i="1"/>
  <c r="P279" i="1" s="1"/>
  <c r="S279" i="1" s="1"/>
  <c r="J255" i="1"/>
  <c r="P255" i="1" s="1"/>
  <c r="S255" i="1" s="1"/>
  <c r="J239" i="1"/>
  <c r="P239" i="1" s="1"/>
  <c r="S239" i="1" s="1"/>
  <c r="J223" i="1"/>
  <c r="P223" i="1" s="1"/>
  <c r="S223" i="1" s="1"/>
  <c r="J191" i="1"/>
  <c r="P191" i="1" s="1"/>
  <c r="S191" i="1" s="1"/>
  <c r="J167" i="1"/>
  <c r="P167" i="1" s="1"/>
  <c r="S167" i="1" s="1"/>
  <c r="J159" i="1"/>
  <c r="P159" i="1" s="1"/>
  <c r="S159" i="1" s="1"/>
  <c r="J135" i="1"/>
  <c r="P135" i="1" s="1"/>
  <c r="S135" i="1" s="1"/>
  <c r="J119" i="1"/>
  <c r="P119" i="1" s="1"/>
  <c r="S119" i="1" s="1"/>
  <c r="J103" i="1"/>
  <c r="P103" i="1" s="1"/>
  <c r="S103" i="1" s="1"/>
  <c r="J79" i="1"/>
  <c r="P79" i="1" s="1"/>
  <c r="S79" i="1" s="1"/>
  <c r="J63" i="1"/>
  <c r="P63" i="1" s="1"/>
  <c r="S63" i="1" s="1"/>
  <c r="J15" i="1"/>
  <c r="P15" i="1" s="1"/>
  <c r="S15" i="1" s="1"/>
  <c r="J302" i="1"/>
  <c r="P302" i="1" s="1"/>
  <c r="S302" i="1" s="1"/>
  <c r="J286" i="1"/>
  <c r="P286" i="1" s="1"/>
  <c r="S286" i="1" s="1"/>
  <c r="J278" i="1"/>
  <c r="P278" i="1" s="1"/>
  <c r="S278" i="1" s="1"/>
  <c r="J262" i="1"/>
  <c r="P262" i="1" s="1"/>
  <c r="S262" i="1" s="1"/>
  <c r="J254" i="1"/>
  <c r="P254" i="1" s="1"/>
  <c r="S254" i="1" s="1"/>
  <c r="J238" i="1"/>
  <c r="P238" i="1" s="1"/>
  <c r="S238" i="1" s="1"/>
  <c r="J230" i="1"/>
  <c r="P230" i="1" s="1"/>
  <c r="S230" i="1" s="1"/>
  <c r="J222" i="1"/>
  <c r="P222" i="1" s="1"/>
  <c r="S222" i="1" s="1"/>
  <c r="J206" i="1"/>
  <c r="P206" i="1" s="1"/>
  <c r="S206" i="1" s="1"/>
  <c r="J198" i="1"/>
  <c r="P198" i="1" s="1"/>
  <c r="S198" i="1" s="1"/>
  <c r="J190" i="1"/>
  <c r="P190" i="1" s="1"/>
  <c r="S190" i="1" s="1"/>
  <c r="J182" i="1"/>
  <c r="P182" i="1" s="1"/>
  <c r="S182" i="1" s="1"/>
  <c r="J174" i="1"/>
  <c r="P174" i="1" s="1"/>
  <c r="S174" i="1" s="1"/>
  <c r="J166" i="1"/>
  <c r="P166" i="1" s="1"/>
  <c r="S166" i="1" s="1"/>
  <c r="J158" i="1"/>
  <c r="P158" i="1" s="1"/>
  <c r="S158" i="1" s="1"/>
  <c r="J142" i="1"/>
  <c r="P142" i="1" s="1"/>
  <c r="S142" i="1" s="1"/>
  <c r="J134" i="1"/>
  <c r="P134" i="1" s="1"/>
  <c r="S134" i="1" s="1"/>
  <c r="J126" i="1"/>
  <c r="P126" i="1" s="1"/>
  <c r="S126" i="1" s="1"/>
  <c r="J118" i="1"/>
  <c r="P118" i="1" s="1"/>
  <c r="S118" i="1" s="1"/>
  <c r="J110" i="1"/>
  <c r="P110" i="1" s="1"/>
  <c r="S110" i="1" s="1"/>
  <c r="J102" i="1"/>
  <c r="P102" i="1" s="1"/>
  <c r="S102" i="1" s="1"/>
  <c r="J94" i="1"/>
  <c r="P94" i="1" s="1"/>
  <c r="S94" i="1" s="1"/>
  <c r="J86" i="1"/>
  <c r="P86" i="1" s="1"/>
  <c r="S86" i="1" s="1"/>
  <c r="J78" i="1"/>
  <c r="P78" i="1" s="1"/>
  <c r="S78" i="1" s="1"/>
  <c r="J70" i="1"/>
  <c r="P70" i="1" s="1"/>
  <c r="S70" i="1" s="1"/>
  <c r="J62" i="1"/>
  <c r="P62" i="1" s="1"/>
  <c r="S62" i="1" s="1"/>
  <c r="J54" i="1"/>
  <c r="P54" i="1" s="1"/>
  <c r="S54" i="1" s="1"/>
  <c r="J46" i="1"/>
  <c r="P46" i="1" s="1"/>
  <c r="S46" i="1" s="1"/>
  <c r="J38" i="1"/>
  <c r="P38" i="1" s="1"/>
  <c r="S38" i="1" s="1"/>
  <c r="J30" i="1"/>
  <c r="P30" i="1" s="1"/>
  <c r="S30" i="1" s="1"/>
  <c r="J22" i="1"/>
  <c r="P22" i="1" s="1"/>
  <c r="S22" i="1" s="1"/>
  <c r="J6" i="1"/>
  <c r="P6" i="1" s="1"/>
  <c r="S6" i="1" s="1"/>
  <c r="J301" i="1"/>
  <c r="P301" i="1" s="1"/>
  <c r="S301" i="1" s="1"/>
  <c r="J293" i="1"/>
  <c r="P293" i="1" s="1"/>
  <c r="S293" i="1" s="1"/>
  <c r="J285" i="1"/>
  <c r="P285" i="1" s="1"/>
  <c r="S285" i="1" s="1"/>
  <c r="J277" i="1"/>
  <c r="P277" i="1" s="1"/>
  <c r="S277" i="1" s="1"/>
  <c r="J269" i="1"/>
  <c r="P269" i="1" s="1"/>
  <c r="S269" i="1" s="1"/>
  <c r="J261" i="1"/>
  <c r="P261" i="1" s="1"/>
  <c r="S261" i="1" s="1"/>
  <c r="J253" i="1"/>
  <c r="P253" i="1" s="1"/>
  <c r="S253" i="1" s="1"/>
  <c r="J245" i="1"/>
  <c r="P245" i="1" s="1"/>
  <c r="S245" i="1" s="1"/>
  <c r="J237" i="1"/>
  <c r="P237" i="1" s="1"/>
  <c r="S237" i="1" s="1"/>
  <c r="J229" i="1"/>
  <c r="P229" i="1" s="1"/>
  <c r="S229" i="1" s="1"/>
  <c r="J221" i="1"/>
  <c r="P221" i="1" s="1"/>
  <c r="S221" i="1" s="1"/>
  <c r="J213" i="1"/>
  <c r="P213" i="1" s="1"/>
  <c r="S213" i="1" s="1"/>
  <c r="J205" i="1"/>
  <c r="P205" i="1" s="1"/>
  <c r="S205" i="1" s="1"/>
  <c r="J197" i="1"/>
  <c r="P197" i="1" s="1"/>
  <c r="S197" i="1" s="1"/>
  <c r="J189" i="1"/>
  <c r="P189" i="1" s="1"/>
  <c r="S189" i="1" s="1"/>
  <c r="J181" i="1"/>
  <c r="P181" i="1" s="1"/>
  <c r="S181" i="1" s="1"/>
  <c r="J173" i="1"/>
  <c r="P173" i="1" s="1"/>
  <c r="S173" i="1" s="1"/>
  <c r="J165" i="1"/>
  <c r="P165" i="1" s="1"/>
  <c r="S165" i="1" s="1"/>
  <c r="J157" i="1"/>
  <c r="P157" i="1" s="1"/>
  <c r="S157" i="1" s="1"/>
  <c r="J149" i="1"/>
  <c r="P149" i="1" s="1"/>
  <c r="S149" i="1" s="1"/>
  <c r="J141" i="1"/>
  <c r="P141" i="1" s="1"/>
  <c r="S141" i="1" s="1"/>
  <c r="J133" i="1"/>
  <c r="P133" i="1" s="1"/>
  <c r="S133" i="1" s="1"/>
  <c r="J125" i="1"/>
  <c r="P125" i="1" s="1"/>
  <c r="S125" i="1" s="1"/>
  <c r="J117" i="1"/>
  <c r="P117" i="1" s="1"/>
  <c r="S117" i="1" s="1"/>
  <c r="J109" i="1"/>
  <c r="P109" i="1" s="1"/>
  <c r="S109" i="1" s="1"/>
  <c r="J101" i="1"/>
  <c r="P101" i="1" s="1"/>
  <c r="S101" i="1" s="1"/>
  <c r="J93" i="1"/>
  <c r="P93" i="1" s="1"/>
  <c r="S93" i="1" s="1"/>
  <c r="J85" i="1"/>
  <c r="P85" i="1" s="1"/>
  <c r="S85" i="1" s="1"/>
  <c r="J77" i="1"/>
  <c r="P77" i="1" s="1"/>
  <c r="S77" i="1" s="1"/>
  <c r="J69" i="1"/>
  <c r="P69" i="1" s="1"/>
  <c r="S69" i="1" s="1"/>
  <c r="J61" i="1"/>
  <c r="P61" i="1" s="1"/>
  <c r="S61" i="1" s="1"/>
  <c r="J53" i="1"/>
  <c r="P53" i="1" s="1"/>
  <c r="S53" i="1" s="1"/>
  <c r="J45" i="1"/>
  <c r="P45" i="1" s="1"/>
  <c r="S45" i="1" s="1"/>
  <c r="J37" i="1"/>
  <c r="P37" i="1" s="1"/>
  <c r="S37" i="1" s="1"/>
  <c r="J29" i="1"/>
  <c r="P29" i="1" s="1"/>
  <c r="S29" i="1" s="1"/>
  <c r="J21" i="1"/>
  <c r="P21" i="1" s="1"/>
  <c r="S21" i="1" s="1"/>
  <c r="J13" i="1"/>
  <c r="P13" i="1" s="1"/>
  <c r="S13" i="1" s="1"/>
  <c r="J5" i="1"/>
  <c r="P5" i="1" s="1"/>
  <c r="S5" i="1" s="1"/>
  <c r="N4" i="1" l="1"/>
  <c r="O91" i="1"/>
  <c r="Q91" i="1" s="1"/>
  <c r="R91" i="1" s="1"/>
  <c r="K101" i="1"/>
  <c r="L101" i="1" s="1"/>
  <c r="N101" i="1"/>
  <c r="K109" i="1"/>
  <c r="L109" i="1" s="1"/>
  <c r="N109" i="1"/>
  <c r="K301" i="1"/>
  <c r="L301" i="1" s="1"/>
  <c r="N301" i="1"/>
  <c r="K302" i="1"/>
  <c r="L302" i="1" s="1"/>
  <c r="N302" i="1"/>
  <c r="K14" i="1"/>
  <c r="L14" i="1" s="1"/>
  <c r="N14" i="1"/>
  <c r="K296" i="1"/>
  <c r="L296" i="1" s="1"/>
  <c r="N296" i="1"/>
  <c r="K24" i="1"/>
  <c r="L24" i="1" s="1"/>
  <c r="N24" i="1"/>
  <c r="K240" i="1"/>
  <c r="L240" i="1" s="1"/>
  <c r="N240" i="1"/>
  <c r="K169" i="1"/>
  <c r="L169" i="1" s="1"/>
  <c r="N169" i="1"/>
  <c r="K106" i="1"/>
  <c r="L106" i="1" s="1"/>
  <c r="N106" i="1"/>
  <c r="K234" i="1"/>
  <c r="L234" i="1" s="1"/>
  <c r="N234" i="1"/>
  <c r="K84" i="1"/>
  <c r="L84" i="1" s="1"/>
  <c r="N84" i="1"/>
  <c r="K276" i="1"/>
  <c r="L276" i="1" s="1"/>
  <c r="N276" i="1"/>
  <c r="K291" i="1"/>
  <c r="L291" i="1" s="1"/>
  <c r="N291" i="1"/>
  <c r="K147" i="1"/>
  <c r="L147" i="1" s="1"/>
  <c r="N147" i="1"/>
  <c r="K53" i="1"/>
  <c r="L53" i="1" s="1"/>
  <c r="N53" i="1"/>
  <c r="K117" i="1"/>
  <c r="L117" i="1" s="1"/>
  <c r="N117" i="1"/>
  <c r="K181" i="1"/>
  <c r="L181" i="1" s="1"/>
  <c r="N181" i="1"/>
  <c r="K245" i="1"/>
  <c r="L245" i="1" s="1"/>
  <c r="N245" i="1"/>
  <c r="K6" i="1"/>
  <c r="L6" i="1" s="1"/>
  <c r="N6" i="1"/>
  <c r="K78" i="1"/>
  <c r="L78" i="1" s="1"/>
  <c r="N78" i="1"/>
  <c r="K142" i="1"/>
  <c r="L142" i="1" s="1"/>
  <c r="N142" i="1"/>
  <c r="K222" i="1"/>
  <c r="L222" i="1" s="1"/>
  <c r="N222" i="1"/>
  <c r="K15" i="1"/>
  <c r="L15" i="1" s="1"/>
  <c r="N15" i="1"/>
  <c r="K191" i="1"/>
  <c r="L191" i="1" s="1"/>
  <c r="N191" i="1"/>
  <c r="K150" i="1"/>
  <c r="L150" i="1" s="1"/>
  <c r="N150" i="1"/>
  <c r="K47" i="1"/>
  <c r="L47" i="1" s="1"/>
  <c r="N47" i="1"/>
  <c r="K199" i="1"/>
  <c r="L199" i="1" s="1"/>
  <c r="N199" i="1"/>
  <c r="K185" i="1"/>
  <c r="L185" i="1" s="1"/>
  <c r="N185" i="1"/>
  <c r="K231" i="1"/>
  <c r="L231" i="1" s="1"/>
  <c r="N231" i="1"/>
  <c r="K257" i="1"/>
  <c r="L257" i="1" s="1"/>
  <c r="N257" i="1"/>
  <c r="K32" i="1"/>
  <c r="L32" i="1" s="1"/>
  <c r="N32" i="1"/>
  <c r="K96" i="1"/>
  <c r="L96" i="1" s="1"/>
  <c r="N96" i="1"/>
  <c r="K160" i="1"/>
  <c r="L160" i="1" s="1"/>
  <c r="N160" i="1"/>
  <c r="K248" i="1"/>
  <c r="L248" i="1" s="1"/>
  <c r="N248" i="1"/>
  <c r="K49" i="1"/>
  <c r="L49" i="1" s="1"/>
  <c r="N49" i="1"/>
  <c r="K113" i="1"/>
  <c r="L113" i="1" s="1"/>
  <c r="N113" i="1"/>
  <c r="K193" i="1"/>
  <c r="L193" i="1" s="1"/>
  <c r="N193" i="1"/>
  <c r="K59" i="1"/>
  <c r="L59" i="1" s="1"/>
  <c r="N59" i="1"/>
  <c r="K50" i="1"/>
  <c r="L50" i="1" s="1"/>
  <c r="N50" i="1"/>
  <c r="K114" i="1"/>
  <c r="L114" i="1" s="1"/>
  <c r="N114" i="1"/>
  <c r="K178" i="1"/>
  <c r="L178" i="1" s="1"/>
  <c r="N178" i="1"/>
  <c r="K242" i="1"/>
  <c r="L242" i="1" s="1"/>
  <c r="N242" i="1"/>
  <c r="K28" i="1"/>
  <c r="L28" i="1" s="1"/>
  <c r="N28" i="1"/>
  <c r="K92" i="1"/>
  <c r="L92" i="1" s="1"/>
  <c r="N92" i="1"/>
  <c r="K156" i="1"/>
  <c r="L156" i="1" s="1"/>
  <c r="N156" i="1"/>
  <c r="K220" i="1"/>
  <c r="L220" i="1" s="1"/>
  <c r="N220" i="1"/>
  <c r="K284" i="1"/>
  <c r="L284" i="1" s="1"/>
  <c r="N284" i="1"/>
  <c r="K75" i="1"/>
  <c r="L75" i="1" s="1"/>
  <c r="N75" i="1"/>
  <c r="K179" i="1"/>
  <c r="L179" i="1" s="1"/>
  <c r="N179" i="1"/>
  <c r="K211" i="1"/>
  <c r="L211" i="1" s="1"/>
  <c r="N211" i="1"/>
  <c r="K267" i="1"/>
  <c r="L267" i="1" s="1"/>
  <c r="N267" i="1"/>
  <c r="K165" i="1"/>
  <c r="L165" i="1" s="1"/>
  <c r="N165" i="1"/>
  <c r="K173" i="1"/>
  <c r="L173" i="1" s="1"/>
  <c r="N173" i="1"/>
  <c r="K70" i="1"/>
  <c r="L70" i="1" s="1"/>
  <c r="N70" i="1"/>
  <c r="K206" i="1"/>
  <c r="L206" i="1" s="1"/>
  <c r="N206" i="1"/>
  <c r="K167" i="1"/>
  <c r="L167" i="1" s="1"/>
  <c r="N167" i="1"/>
  <c r="K175" i="1"/>
  <c r="L175" i="1" s="1"/>
  <c r="N175" i="1"/>
  <c r="K233" i="1"/>
  <c r="L233" i="1" s="1"/>
  <c r="N233" i="1"/>
  <c r="K152" i="1"/>
  <c r="L152" i="1" s="1"/>
  <c r="N152" i="1"/>
  <c r="K105" i="1"/>
  <c r="L105" i="1" s="1"/>
  <c r="N105" i="1"/>
  <c r="K42" i="1"/>
  <c r="L42" i="1" s="1"/>
  <c r="N42" i="1"/>
  <c r="K170" i="1"/>
  <c r="L170" i="1" s="1"/>
  <c r="N170" i="1"/>
  <c r="K20" i="1"/>
  <c r="L20" i="1" s="1"/>
  <c r="N20" i="1"/>
  <c r="K212" i="1"/>
  <c r="L212" i="1" s="1"/>
  <c r="N212" i="1"/>
  <c r="K35" i="1"/>
  <c r="L35" i="1" s="1"/>
  <c r="N35" i="1"/>
  <c r="K203" i="1"/>
  <c r="L203" i="1" s="1"/>
  <c r="N203" i="1"/>
  <c r="K61" i="1"/>
  <c r="L61" i="1" s="1"/>
  <c r="N61" i="1"/>
  <c r="K125" i="1"/>
  <c r="L125" i="1" s="1"/>
  <c r="N125" i="1"/>
  <c r="K189" i="1"/>
  <c r="L189" i="1" s="1"/>
  <c r="N189" i="1"/>
  <c r="K253" i="1"/>
  <c r="L253" i="1" s="1"/>
  <c r="N253" i="1"/>
  <c r="K22" i="1"/>
  <c r="L22" i="1" s="1"/>
  <c r="N22" i="1"/>
  <c r="K86" i="1"/>
  <c r="L86" i="1" s="1"/>
  <c r="N86" i="1"/>
  <c r="K158" i="1"/>
  <c r="L158" i="1" s="1"/>
  <c r="N158" i="1"/>
  <c r="K230" i="1"/>
  <c r="L230" i="1" s="1"/>
  <c r="N230" i="1"/>
  <c r="K63" i="1"/>
  <c r="L63" i="1" s="1"/>
  <c r="N63" i="1"/>
  <c r="K223" i="1"/>
  <c r="L223" i="1" s="1"/>
  <c r="N223" i="1"/>
  <c r="K214" i="1"/>
  <c r="L214" i="1" s="1"/>
  <c r="N214" i="1"/>
  <c r="K55" i="1"/>
  <c r="L55" i="1" s="1"/>
  <c r="N55" i="1"/>
  <c r="K215" i="1"/>
  <c r="L215" i="1" s="1"/>
  <c r="N215" i="1"/>
  <c r="K265" i="1"/>
  <c r="L265" i="1" s="1"/>
  <c r="N265" i="1"/>
  <c r="K263" i="1"/>
  <c r="L263" i="1" s="1"/>
  <c r="N263" i="1"/>
  <c r="K273" i="1"/>
  <c r="L273" i="1" s="1"/>
  <c r="N273" i="1"/>
  <c r="K40" i="1"/>
  <c r="L40" i="1" s="1"/>
  <c r="N40" i="1"/>
  <c r="K104" i="1"/>
  <c r="L104" i="1" s="1"/>
  <c r="N104" i="1"/>
  <c r="K168" i="1"/>
  <c r="L168" i="1" s="1"/>
  <c r="N168" i="1"/>
  <c r="K264" i="1"/>
  <c r="L264" i="1" s="1"/>
  <c r="N264" i="1"/>
  <c r="K57" i="1"/>
  <c r="L57" i="1" s="1"/>
  <c r="N57" i="1"/>
  <c r="K121" i="1"/>
  <c r="L121" i="1" s="1"/>
  <c r="N121" i="1"/>
  <c r="K209" i="1"/>
  <c r="L209" i="1" s="1"/>
  <c r="N209" i="1"/>
  <c r="K67" i="1"/>
  <c r="L67" i="1" s="1"/>
  <c r="N67" i="1"/>
  <c r="K58" i="1"/>
  <c r="L58" i="1" s="1"/>
  <c r="N58" i="1"/>
  <c r="K122" i="1"/>
  <c r="L122" i="1" s="1"/>
  <c r="N122" i="1"/>
  <c r="K186" i="1"/>
  <c r="L186" i="1" s="1"/>
  <c r="N186" i="1"/>
  <c r="K250" i="1"/>
  <c r="L250" i="1" s="1"/>
  <c r="N250" i="1"/>
  <c r="K36" i="1"/>
  <c r="L36" i="1" s="1"/>
  <c r="N36" i="1"/>
  <c r="K100" i="1"/>
  <c r="L100" i="1" s="1"/>
  <c r="N100" i="1"/>
  <c r="K164" i="1"/>
  <c r="L164" i="1" s="1"/>
  <c r="N164" i="1"/>
  <c r="K228" i="1"/>
  <c r="L228" i="1" s="1"/>
  <c r="N228" i="1"/>
  <c r="K292" i="1"/>
  <c r="L292" i="1" s="1"/>
  <c r="N292" i="1"/>
  <c r="K163" i="1"/>
  <c r="L163" i="1" s="1"/>
  <c r="N163" i="1"/>
  <c r="K243" i="1"/>
  <c r="L243" i="1" s="1"/>
  <c r="N243" i="1"/>
  <c r="K83" i="1"/>
  <c r="L83" i="1" s="1"/>
  <c r="N83" i="1"/>
  <c r="K29" i="1"/>
  <c r="L29" i="1" s="1"/>
  <c r="N29" i="1"/>
  <c r="K45" i="1"/>
  <c r="L45" i="1" s="1"/>
  <c r="N45" i="1"/>
  <c r="K237" i="1"/>
  <c r="L237" i="1" s="1"/>
  <c r="N237" i="1"/>
  <c r="K134" i="1"/>
  <c r="L134" i="1" s="1"/>
  <c r="N134" i="1"/>
  <c r="K39" i="1"/>
  <c r="L39" i="1" s="1"/>
  <c r="N39" i="1"/>
  <c r="K207" i="1"/>
  <c r="L207" i="1" s="1"/>
  <c r="N207" i="1"/>
  <c r="K88" i="1"/>
  <c r="L88" i="1" s="1"/>
  <c r="N88" i="1"/>
  <c r="K41" i="1"/>
  <c r="L41" i="1" s="1"/>
  <c r="N41" i="1"/>
  <c r="K51" i="1"/>
  <c r="L51" i="1" s="1"/>
  <c r="N51" i="1"/>
  <c r="K148" i="1"/>
  <c r="L148" i="1" s="1"/>
  <c r="N148" i="1"/>
  <c r="K5" i="1"/>
  <c r="L5" i="1" s="1"/>
  <c r="N5" i="1"/>
  <c r="K69" i="1"/>
  <c r="L69" i="1" s="1"/>
  <c r="N69" i="1"/>
  <c r="K133" i="1"/>
  <c r="L133" i="1" s="1"/>
  <c r="N133" i="1"/>
  <c r="K197" i="1"/>
  <c r="L197" i="1" s="1"/>
  <c r="N197" i="1"/>
  <c r="K261" i="1"/>
  <c r="L261" i="1" s="1"/>
  <c r="N261" i="1"/>
  <c r="K30" i="1"/>
  <c r="L30" i="1" s="1"/>
  <c r="N30" i="1"/>
  <c r="K94" i="1"/>
  <c r="L94" i="1" s="1"/>
  <c r="N94" i="1"/>
  <c r="K166" i="1"/>
  <c r="L166" i="1" s="1"/>
  <c r="N166" i="1"/>
  <c r="K238" i="1"/>
  <c r="L238" i="1" s="1"/>
  <c r="N238" i="1"/>
  <c r="K79" i="1"/>
  <c r="L79" i="1" s="1"/>
  <c r="N79" i="1"/>
  <c r="K239" i="1"/>
  <c r="L239" i="1" s="1"/>
  <c r="N239" i="1"/>
  <c r="K246" i="1"/>
  <c r="L246" i="1" s="1"/>
  <c r="N246" i="1"/>
  <c r="K71" i="1"/>
  <c r="L71" i="1" s="1"/>
  <c r="N71" i="1"/>
  <c r="K247" i="1"/>
  <c r="L247" i="1" s="1"/>
  <c r="N247" i="1"/>
  <c r="K11" i="1"/>
  <c r="L11" i="1" s="1"/>
  <c r="N11" i="1"/>
  <c r="K295" i="1"/>
  <c r="L295" i="1" s="1"/>
  <c r="N295" i="1"/>
  <c r="K297" i="1"/>
  <c r="L297" i="1" s="1"/>
  <c r="N297" i="1"/>
  <c r="K48" i="1"/>
  <c r="L48" i="1" s="1"/>
  <c r="N48" i="1"/>
  <c r="K112" i="1"/>
  <c r="L112" i="1" s="1"/>
  <c r="N112" i="1"/>
  <c r="K176" i="1"/>
  <c r="L176" i="1" s="1"/>
  <c r="N176" i="1"/>
  <c r="K288" i="1"/>
  <c r="L288" i="1" s="1"/>
  <c r="N288" i="1"/>
  <c r="K65" i="1"/>
  <c r="L65" i="1" s="1"/>
  <c r="N65" i="1"/>
  <c r="K129" i="1"/>
  <c r="L129" i="1" s="1"/>
  <c r="N129" i="1"/>
  <c r="K225" i="1"/>
  <c r="L225" i="1" s="1"/>
  <c r="N225" i="1"/>
  <c r="K99" i="1"/>
  <c r="L99" i="1" s="1"/>
  <c r="N99" i="1"/>
  <c r="K66" i="1"/>
  <c r="L66" i="1" s="1"/>
  <c r="N66" i="1"/>
  <c r="K130" i="1"/>
  <c r="L130" i="1" s="1"/>
  <c r="N130" i="1"/>
  <c r="K194" i="1"/>
  <c r="L194" i="1" s="1"/>
  <c r="N194" i="1"/>
  <c r="K258" i="1"/>
  <c r="L258" i="1" s="1"/>
  <c r="N258" i="1"/>
  <c r="K44" i="1"/>
  <c r="L44" i="1" s="1"/>
  <c r="N44" i="1"/>
  <c r="K108" i="1"/>
  <c r="L108" i="1" s="1"/>
  <c r="N108" i="1"/>
  <c r="K172" i="1"/>
  <c r="L172" i="1" s="1"/>
  <c r="N172" i="1"/>
  <c r="K236" i="1"/>
  <c r="L236" i="1" s="1"/>
  <c r="N236" i="1"/>
  <c r="K300" i="1"/>
  <c r="L300" i="1" s="1"/>
  <c r="N300" i="1"/>
  <c r="K227" i="1"/>
  <c r="L227" i="1" s="1"/>
  <c r="N227" i="1"/>
  <c r="K299" i="1"/>
  <c r="L299" i="1" s="1"/>
  <c r="N299" i="1"/>
  <c r="K219" i="1"/>
  <c r="L219" i="1" s="1"/>
  <c r="N219" i="1"/>
  <c r="K272" i="1"/>
  <c r="L272" i="1" s="1"/>
  <c r="N272" i="1"/>
  <c r="K13" i="1"/>
  <c r="L13" i="1" s="1"/>
  <c r="N13" i="1"/>
  <c r="K141" i="1"/>
  <c r="L141" i="1" s="1"/>
  <c r="N141" i="1"/>
  <c r="K205" i="1"/>
  <c r="L205" i="1" s="1"/>
  <c r="N205" i="1"/>
  <c r="K269" i="1"/>
  <c r="L269" i="1" s="1"/>
  <c r="N269" i="1"/>
  <c r="K38" i="1"/>
  <c r="L38" i="1" s="1"/>
  <c r="N38" i="1"/>
  <c r="K102" i="1"/>
  <c r="L102" i="1" s="1"/>
  <c r="N102" i="1"/>
  <c r="K174" i="1"/>
  <c r="L174" i="1" s="1"/>
  <c r="N174" i="1"/>
  <c r="K254" i="1"/>
  <c r="L254" i="1" s="1"/>
  <c r="N254" i="1"/>
  <c r="K103" i="1"/>
  <c r="L103" i="1" s="1"/>
  <c r="N103" i="1"/>
  <c r="K255" i="1"/>
  <c r="L255" i="1" s="1"/>
  <c r="N255" i="1"/>
  <c r="K270" i="1"/>
  <c r="L270" i="1" s="1"/>
  <c r="N270" i="1"/>
  <c r="K95" i="1"/>
  <c r="L95" i="1" s="1"/>
  <c r="N95" i="1"/>
  <c r="K271" i="1"/>
  <c r="L271" i="1" s="1"/>
  <c r="N271" i="1"/>
  <c r="K7" i="1"/>
  <c r="L7" i="1" s="1"/>
  <c r="N7" i="1"/>
  <c r="K208" i="1"/>
  <c r="L208" i="1" s="1"/>
  <c r="N208" i="1"/>
  <c r="K274" i="1"/>
  <c r="L274" i="1" s="1"/>
  <c r="N274" i="1"/>
  <c r="K56" i="1"/>
  <c r="L56" i="1" s="1"/>
  <c r="N56" i="1"/>
  <c r="K120" i="1"/>
  <c r="L120" i="1" s="1"/>
  <c r="N120" i="1"/>
  <c r="K192" i="1"/>
  <c r="L192" i="1" s="1"/>
  <c r="N192" i="1"/>
  <c r="K9" i="1"/>
  <c r="L9" i="1" s="1"/>
  <c r="N9" i="1"/>
  <c r="K73" i="1"/>
  <c r="L73" i="1" s="1"/>
  <c r="N73" i="1"/>
  <c r="K137" i="1"/>
  <c r="L137" i="1" s="1"/>
  <c r="N137" i="1"/>
  <c r="K249" i="1"/>
  <c r="L249" i="1" s="1"/>
  <c r="N249" i="1"/>
  <c r="K10" i="1"/>
  <c r="L10" i="1" s="1"/>
  <c r="N10" i="1"/>
  <c r="K74" i="1"/>
  <c r="L74" i="1" s="1"/>
  <c r="N74" i="1"/>
  <c r="K138" i="1"/>
  <c r="L138" i="1" s="1"/>
  <c r="N138" i="1"/>
  <c r="K202" i="1"/>
  <c r="L202" i="1" s="1"/>
  <c r="N202" i="1"/>
  <c r="K266" i="1"/>
  <c r="L266" i="1" s="1"/>
  <c r="N266" i="1"/>
  <c r="K52" i="1"/>
  <c r="L52" i="1" s="1"/>
  <c r="N52" i="1"/>
  <c r="K116" i="1"/>
  <c r="L116" i="1" s="1"/>
  <c r="N116" i="1"/>
  <c r="K180" i="1"/>
  <c r="L180" i="1" s="1"/>
  <c r="N180" i="1"/>
  <c r="K244" i="1"/>
  <c r="L244" i="1" s="1"/>
  <c r="N244" i="1"/>
  <c r="K201" i="1"/>
  <c r="L201" i="1" s="1"/>
  <c r="N201" i="1"/>
  <c r="K283" i="1"/>
  <c r="L283" i="1" s="1"/>
  <c r="N283" i="1"/>
  <c r="K123" i="1"/>
  <c r="L123" i="1" s="1"/>
  <c r="N123" i="1"/>
  <c r="K131" i="1"/>
  <c r="L131" i="1" s="1"/>
  <c r="N131" i="1"/>
  <c r="K155" i="1"/>
  <c r="L155" i="1" s="1"/>
  <c r="N155" i="1"/>
  <c r="K21" i="1"/>
  <c r="L21" i="1" s="1"/>
  <c r="N21" i="1"/>
  <c r="K85" i="1"/>
  <c r="L85" i="1" s="1"/>
  <c r="N85" i="1"/>
  <c r="K149" i="1"/>
  <c r="L149" i="1" s="1"/>
  <c r="N149" i="1"/>
  <c r="K213" i="1"/>
  <c r="L213" i="1" s="1"/>
  <c r="N213" i="1"/>
  <c r="K277" i="1"/>
  <c r="L277" i="1" s="1"/>
  <c r="N277" i="1"/>
  <c r="K46" i="1"/>
  <c r="L46" i="1" s="1"/>
  <c r="N46" i="1"/>
  <c r="K110" i="1"/>
  <c r="L110" i="1" s="1"/>
  <c r="N110" i="1"/>
  <c r="K182" i="1"/>
  <c r="L182" i="1" s="1"/>
  <c r="N182" i="1"/>
  <c r="K262" i="1"/>
  <c r="L262" i="1" s="1"/>
  <c r="N262" i="1"/>
  <c r="K119" i="1"/>
  <c r="L119" i="1" s="1"/>
  <c r="N119" i="1"/>
  <c r="K279" i="1"/>
  <c r="L279" i="1" s="1"/>
  <c r="N279" i="1"/>
  <c r="K294" i="1"/>
  <c r="L294" i="1" s="1"/>
  <c r="N294" i="1"/>
  <c r="K111" i="1"/>
  <c r="L111" i="1" s="1"/>
  <c r="N111" i="1"/>
  <c r="K287" i="1"/>
  <c r="L287" i="1" s="1"/>
  <c r="N287" i="1"/>
  <c r="K87" i="1"/>
  <c r="L87" i="1" s="1"/>
  <c r="N87" i="1"/>
  <c r="K280" i="1"/>
  <c r="L280" i="1" s="1"/>
  <c r="N280" i="1"/>
  <c r="K19" i="1"/>
  <c r="L19" i="1" s="1"/>
  <c r="N19" i="1"/>
  <c r="K64" i="1"/>
  <c r="L64" i="1" s="1"/>
  <c r="N64" i="1"/>
  <c r="K128" i="1"/>
  <c r="L128" i="1" s="1"/>
  <c r="N128" i="1"/>
  <c r="K216" i="1"/>
  <c r="L216" i="1" s="1"/>
  <c r="N216" i="1"/>
  <c r="K17" i="1"/>
  <c r="L17" i="1" s="1"/>
  <c r="N17" i="1"/>
  <c r="K81" i="1"/>
  <c r="L81" i="1" s="1"/>
  <c r="N81" i="1"/>
  <c r="K145" i="1"/>
  <c r="L145" i="1" s="1"/>
  <c r="N145" i="1"/>
  <c r="K281" i="1"/>
  <c r="L281" i="1" s="1"/>
  <c r="N281" i="1"/>
  <c r="K18" i="1"/>
  <c r="L18" i="1" s="1"/>
  <c r="N18" i="1"/>
  <c r="K82" i="1"/>
  <c r="L82" i="1" s="1"/>
  <c r="N82" i="1"/>
  <c r="K146" i="1"/>
  <c r="L146" i="1" s="1"/>
  <c r="N146" i="1"/>
  <c r="K210" i="1"/>
  <c r="L210" i="1" s="1"/>
  <c r="N210" i="1"/>
  <c r="K282" i="1"/>
  <c r="L282" i="1" s="1"/>
  <c r="N282" i="1"/>
  <c r="K60" i="1"/>
  <c r="L60" i="1" s="1"/>
  <c r="N60" i="1"/>
  <c r="K124" i="1"/>
  <c r="L124" i="1" s="1"/>
  <c r="N124" i="1"/>
  <c r="K188" i="1"/>
  <c r="L188" i="1" s="1"/>
  <c r="N188" i="1"/>
  <c r="K252" i="1"/>
  <c r="L252" i="1" s="1"/>
  <c r="N252" i="1"/>
  <c r="K241" i="1"/>
  <c r="L241" i="1" s="1"/>
  <c r="N241" i="1"/>
  <c r="K107" i="1"/>
  <c r="L107" i="1" s="1"/>
  <c r="N107" i="1"/>
  <c r="K187" i="1"/>
  <c r="L187" i="1" s="1"/>
  <c r="N187" i="1"/>
  <c r="K195" i="1"/>
  <c r="L195" i="1" s="1"/>
  <c r="N195" i="1"/>
  <c r="K275" i="1"/>
  <c r="L275" i="1" s="1"/>
  <c r="N275" i="1"/>
  <c r="K77" i="1"/>
  <c r="L77" i="1" s="1"/>
  <c r="N77" i="1"/>
  <c r="K93" i="1"/>
  <c r="L93" i="1" s="1"/>
  <c r="N93" i="1"/>
  <c r="K157" i="1"/>
  <c r="L157" i="1" s="1"/>
  <c r="N157" i="1"/>
  <c r="K221" i="1"/>
  <c r="L221" i="1" s="1"/>
  <c r="N221" i="1"/>
  <c r="K285" i="1"/>
  <c r="L285" i="1" s="1"/>
  <c r="N285" i="1"/>
  <c r="K54" i="1"/>
  <c r="L54" i="1" s="1"/>
  <c r="N54" i="1"/>
  <c r="K118" i="1"/>
  <c r="L118" i="1" s="1"/>
  <c r="N118" i="1"/>
  <c r="K190" i="1"/>
  <c r="L190" i="1" s="1"/>
  <c r="N190" i="1"/>
  <c r="K278" i="1"/>
  <c r="L278" i="1" s="1"/>
  <c r="N278" i="1"/>
  <c r="K135" i="1"/>
  <c r="L135" i="1" s="1"/>
  <c r="N135" i="1"/>
  <c r="K303" i="1"/>
  <c r="L303" i="1" s="1"/>
  <c r="N303" i="1"/>
  <c r="K23" i="1"/>
  <c r="L23" i="1" s="1"/>
  <c r="N23" i="1"/>
  <c r="K127" i="1"/>
  <c r="L127" i="1" s="1"/>
  <c r="N127" i="1"/>
  <c r="K184" i="1"/>
  <c r="L184" i="1" s="1"/>
  <c r="N184" i="1"/>
  <c r="K143" i="1"/>
  <c r="L143" i="1" s="1"/>
  <c r="N143" i="1"/>
  <c r="K177" i="1"/>
  <c r="L177" i="1" s="1"/>
  <c r="N177" i="1"/>
  <c r="K8" i="1"/>
  <c r="L8" i="1" s="1"/>
  <c r="N8" i="1"/>
  <c r="K72" i="1"/>
  <c r="L72" i="1" s="1"/>
  <c r="N72" i="1"/>
  <c r="K136" i="1"/>
  <c r="L136" i="1" s="1"/>
  <c r="N136" i="1"/>
  <c r="K224" i="1"/>
  <c r="L224" i="1" s="1"/>
  <c r="N224" i="1"/>
  <c r="K25" i="1"/>
  <c r="L25" i="1" s="1"/>
  <c r="N25" i="1"/>
  <c r="K89" i="1"/>
  <c r="L89" i="1" s="1"/>
  <c r="N89" i="1"/>
  <c r="K153" i="1"/>
  <c r="L153" i="1" s="1"/>
  <c r="N153" i="1"/>
  <c r="K298" i="1"/>
  <c r="L298" i="1" s="1"/>
  <c r="N298" i="1"/>
  <c r="K26" i="1"/>
  <c r="L26" i="1" s="1"/>
  <c r="N26" i="1"/>
  <c r="K90" i="1"/>
  <c r="L90" i="1" s="1"/>
  <c r="N90" i="1"/>
  <c r="K154" i="1"/>
  <c r="L154" i="1" s="1"/>
  <c r="N154" i="1"/>
  <c r="K218" i="1"/>
  <c r="L218" i="1" s="1"/>
  <c r="N218" i="1"/>
  <c r="K27" i="1"/>
  <c r="L27" i="1" s="1"/>
  <c r="N27" i="1"/>
  <c r="K68" i="1"/>
  <c r="L68" i="1" s="1"/>
  <c r="N68" i="1"/>
  <c r="K132" i="1"/>
  <c r="L132" i="1" s="1"/>
  <c r="N132" i="1"/>
  <c r="K196" i="1"/>
  <c r="L196" i="1" s="1"/>
  <c r="N196" i="1"/>
  <c r="K260" i="1"/>
  <c r="L260" i="1" s="1"/>
  <c r="N260" i="1"/>
  <c r="K289" i="1"/>
  <c r="L289" i="1" s="1"/>
  <c r="N289" i="1"/>
  <c r="K171" i="1"/>
  <c r="L171" i="1" s="1"/>
  <c r="N171" i="1"/>
  <c r="K251" i="1"/>
  <c r="L251" i="1" s="1"/>
  <c r="N251" i="1"/>
  <c r="K259" i="1"/>
  <c r="L259" i="1" s="1"/>
  <c r="N259" i="1"/>
  <c r="K37" i="1"/>
  <c r="L37" i="1" s="1"/>
  <c r="N37" i="1"/>
  <c r="K229" i="1"/>
  <c r="L229" i="1" s="1"/>
  <c r="N229" i="1"/>
  <c r="K293" i="1"/>
  <c r="L293" i="1" s="1"/>
  <c r="N293" i="1"/>
  <c r="K62" i="1"/>
  <c r="L62" i="1" s="1"/>
  <c r="N62" i="1"/>
  <c r="K126" i="1"/>
  <c r="L126" i="1" s="1"/>
  <c r="N126" i="1"/>
  <c r="K198" i="1"/>
  <c r="L198" i="1" s="1"/>
  <c r="N198" i="1"/>
  <c r="K286" i="1"/>
  <c r="L286" i="1" s="1"/>
  <c r="N286" i="1"/>
  <c r="K159" i="1"/>
  <c r="L159" i="1" s="1"/>
  <c r="N159" i="1"/>
  <c r="K200" i="1"/>
  <c r="L200" i="1" s="1"/>
  <c r="N200" i="1"/>
  <c r="K31" i="1"/>
  <c r="L31" i="1" s="1"/>
  <c r="N31" i="1"/>
  <c r="K151" i="1"/>
  <c r="L151" i="1" s="1"/>
  <c r="N151" i="1"/>
  <c r="K256" i="1"/>
  <c r="L256" i="1" s="1"/>
  <c r="N256" i="1"/>
  <c r="K183" i="1"/>
  <c r="L183" i="1" s="1"/>
  <c r="N183" i="1"/>
  <c r="K217" i="1"/>
  <c r="L217" i="1" s="1"/>
  <c r="N217" i="1"/>
  <c r="K16" i="1"/>
  <c r="L16" i="1" s="1"/>
  <c r="N16" i="1"/>
  <c r="K80" i="1"/>
  <c r="L80" i="1" s="1"/>
  <c r="N80" i="1"/>
  <c r="K144" i="1"/>
  <c r="L144" i="1" s="1"/>
  <c r="N144" i="1"/>
  <c r="K232" i="1"/>
  <c r="L232" i="1" s="1"/>
  <c r="N232" i="1"/>
  <c r="K33" i="1"/>
  <c r="L33" i="1" s="1"/>
  <c r="N33" i="1"/>
  <c r="K97" i="1"/>
  <c r="L97" i="1" s="1"/>
  <c r="N97" i="1"/>
  <c r="K161" i="1"/>
  <c r="L161" i="1" s="1"/>
  <c r="N161" i="1"/>
  <c r="K43" i="1"/>
  <c r="L43" i="1" s="1"/>
  <c r="N43" i="1"/>
  <c r="K34" i="1"/>
  <c r="L34" i="1" s="1"/>
  <c r="N34" i="1"/>
  <c r="K98" i="1"/>
  <c r="L98" i="1" s="1"/>
  <c r="N98" i="1"/>
  <c r="K162" i="1"/>
  <c r="L162" i="1" s="1"/>
  <c r="N162" i="1"/>
  <c r="K226" i="1"/>
  <c r="L226" i="1" s="1"/>
  <c r="N226" i="1"/>
  <c r="K12" i="1"/>
  <c r="L12" i="1" s="1"/>
  <c r="N12" i="1"/>
  <c r="K76" i="1"/>
  <c r="L76" i="1" s="1"/>
  <c r="N76" i="1"/>
  <c r="K140" i="1"/>
  <c r="L140" i="1" s="1"/>
  <c r="N140" i="1"/>
  <c r="K204" i="1"/>
  <c r="L204" i="1" s="1"/>
  <c r="N204" i="1"/>
  <c r="K268" i="1"/>
  <c r="L268" i="1" s="1"/>
  <c r="N268" i="1"/>
  <c r="K290" i="1"/>
  <c r="L290" i="1" s="1"/>
  <c r="N290" i="1"/>
  <c r="K235" i="1"/>
  <c r="L235" i="1" s="1"/>
  <c r="N235" i="1"/>
  <c r="K115" i="1"/>
  <c r="L115" i="1" s="1"/>
  <c r="N115" i="1"/>
  <c r="K139" i="1"/>
  <c r="L139" i="1" s="1"/>
  <c r="N139" i="1"/>
  <c r="K4" i="1"/>
  <c r="L4" i="1" s="1"/>
  <c r="O4" i="1" l="1"/>
  <c r="Q4" i="1" s="1"/>
  <c r="R4" i="1" s="1"/>
  <c r="O204" i="1"/>
  <c r="Q204" i="1" s="1"/>
  <c r="R204" i="1" s="1"/>
  <c r="O43" i="1"/>
  <c r="Q43" i="1" s="1"/>
  <c r="R43" i="1" s="1"/>
  <c r="O217" i="1"/>
  <c r="Q217" i="1" s="1"/>
  <c r="R217" i="1" s="1"/>
  <c r="O198" i="1"/>
  <c r="Q198" i="1" s="1"/>
  <c r="R198" i="1" s="1"/>
  <c r="O171" i="1"/>
  <c r="Q171" i="1" s="1"/>
  <c r="R171" i="1" s="1"/>
  <c r="O154" i="1"/>
  <c r="Q154" i="1" s="1"/>
  <c r="R154" i="1" s="1"/>
  <c r="O136" i="1"/>
  <c r="Q136" i="1" s="1"/>
  <c r="R136" i="1" s="1"/>
  <c r="O303" i="1"/>
  <c r="Q303" i="1" s="1"/>
  <c r="R303" i="1" s="1"/>
  <c r="O157" i="1"/>
  <c r="Q157" i="1" s="1"/>
  <c r="R157" i="1" s="1"/>
  <c r="O252" i="1"/>
  <c r="Q252" i="1" s="1"/>
  <c r="R252" i="1" s="1"/>
  <c r="O18" i="1"/>
  <c r="Q18" i="1" s="1"/>
  <c r="R18" i="1" s="1"/>
  <c r="O17" i="1"/>
  <c r="Q17" i="1" s="1"/>
  <c r="R17" i="1" s="1"/>
  <c r="O111" i="1"/>
  <c r="Q111" i="1" s="1"/>
  <c r="R111" i="1" s="1"/>
  <c r="O277" i="1"/>
  <c r="Q277" i="1" s="1"/>
  <c r="R277" i="1" s="1"/>
  <c r="O283" i="1"/>
  <c r="Q283" i="1" s="1"/>
  <c r="R283" i="1" s="1"/>
  <c r="O138" i="1"/>
  <c r="Q138" i="1" s="1"/>
  <c r="R138" i="1" s="1"/>
  <c r="O120" i="1"/>
  <c r="Q120" i="1" s="1"/>
  <c r="R120" i="1" s="1"/>
  <c r="O255" i="1"/>
  <c r="Q255" i="1" s="1"/>
  <c r="R255" i="1" s="1"/>
  <c r="O102" i="1"/>
  <c r="Q102" i="1" s="1"/>
  <c r="R102" i="1" s="1"/>
  <c r="O141" i="1"/>
  <c r="Q141" i="1" s="1"/>
  <c r="R141" i="1" s="1"/>
  <c r="O299" i="1"/>
  <c r="Q299" i="1" s="1"/>
  <c r="R299" i="1" s="1"/>
  <c r="O172" i="1"/>
  <c r="Q172" i="1" s="1"/>
  <c r="R172" i="1" s="1"/>
  <c r="O194" i="1"/>
  <c r="Q194" i="1" s="1"/>
  <c r="R194" i="1" s="1"/>
  <c r="O225" i="1"/>
  <c r="Q225" i="1" s="1"/>
  <c r="R225" i="1" s="1"/>
  <c r="O295" i="1"/>
  <c r="Q295" i="1" s="1"/>
  <c r="R295" i="1" s="1"/>
  <c r="O246" i="1"/>
  <c r="Q246" i="1" s="1"/>
  <c r="R246" i="1" s="1"/>
  <c r="O166" i="1"/>
  <c r="Q166" i="1" s="1"/>
  <c r="R166" i="1" s="1"/>
  <c r="O197" i="1"/>
  <c r="Q197" i="1" s="1"/>
  <c r="R197" i="1" s="1"/>
  <c r="O148" i="1"/>
  <c r="Q148" i="1" s="1"/>
  <c r="R148" i="1" s="1"/>
  <c r="O207" i="1"/>
  <c r="Q207" i="1" s="1"/>
  <c r="R207" i="1" s="1"/>
  <c r="O45" i="1"/>
  <c r="Q45" i="1" s="1"/>
  <c r="R45" i="1" s="1"/>
  <c r="O163" i="1"/>
  <c r="Q163" i="1" s="1"/>
  <c r="R163" i="1" s="1"/>
  <c r="O100" i="1"/>
  <c r="Q100" i="1" s="1"/>
  <c r="R100" i="1" s="1"/>
  <c r="O122" i="1"/>
  <c r="Q122" i="1" s="1"/>
  <c r="R122" i="1" s="1"/>
  <c r="O121" i="1"/>
  <c r="Q121" i="1" s="1"/>
  <c r="R121" i="1" s="1"/>
  <c r="O104" i="1"/>
  <c r="Q104" i="1" s="1"/>
  <c r="R104" i="1" s="1"/>
  <c r="O265" i="1"/>
  <c r="Q265" i="1" s="1"/>
  <c r="R265" i="1" s="1"/>
  <c r="O223" i="1"/>
  <c r="Q223" i="1" s="1"/>
  <c r="R223" i="1" s="1"/>
  <c r="O86" i="1"/>
  <c r="Q86" i="1" s="1"/>
  <c r="R86" i="1" s="1"/>
  <c r="O125" i="1"/>
  <c r="Q125" i="1" s="1"/>
  <c r="R125" i="1" s="1"/>
  <c r="O212" i="1"/>
  <c r="Q212" i="1" s="1"/>
  <c r="R212" i="1" s="1"/>
  <c r="O105" i="1"/>
  <c r="Q105" i="1" s="1"/>
  <c r="R105" i="1" s="1"/>
  <c r="O167" i="1"/>
  <c r="Q167" i="1" s="1"/>
  <c r="R167" i="1" s="1"/>
  <c r="O165" i="1"/>
  <c r="Q165" i="1" s="1"/>
  <c r="R165" i="1" s="1"/>
  <c r="O75" i="1"/>
  <c r="Q75" i="1" s="1"/>
  <c r="R75" i="1" s="1"/>
  <c r="O115" i="1"/>
  <c r="Q115" i="1" s="1"/>
  <c r="R115" i="1" s="1"/>
  <c r="O226" i="1"/>
  <c r="Q226" i="1" s="1"/>
  <c r="R226" i="1" s="1"/>
  <c r="O232" i="1"/>
  <c r="Q232" i="1" s="1"/>
  <c r="R232" i="1" s="1"/>
  <c r="O31" i="1"/>
  <c r="Q31" i="1" s="1"/>
  <c r="R31" i="1" s="1"/>
  <c r="O229" i="1"/>
  <c r="Q229" i="1" s="1"/>
  <c r="R229" i="1" s="1"/>
  <c r="O132" i="1"/>
  <c r="Q132" i="1" s="1"/>
  <c r="R132" i="1" s="1"/>
  <c r="O153" i="1"/>
  <c r="Q153" i="1" s="1"/>
  <c r="R153" i="1" s="1"/>
  <c r="O143" i="1"/>
  <c r="Q143" i="1" s="1"/>
  <c r="R143" i="1" s="1"/>
  <c r="O118" i="1"/>
  <c r="Q118" i="1" s="1"/>
  <c r="R118" i="1" s="1"/>
  <c r="O195" i="1"/>
  <c r="Q195" i="1" s="1"/>
  <c r="R195" i="1" s="1"/>
  <c r="O282" i="1"/>
  <c r="Q282" i="1" s="1"/>
  <c r="R282" i="1" s="1"/>
  <c r="O19" i="1"/>
  <c r="Q19" i="1" s="1"/>
  <c r="R19" i="1" s="1"/>
  <c r="O262" i="1"/>
  <c r="Q262" i="1" s="1"/>
  <c r="R262" i="1" s="1"/>
  <c r="O21" i="1"/>
  <c r="Q21" i="1" s="1"/>
  <c r="R21" i="1" s="1"/>
  <c r="O116" i="1"/>
  <c r="Q116" i="1" s="1"/>
  <c r="R116" i="1" s="1"/>
  <c r="O137" i="1"/>
  <c r="Q137" i="1" s="1"/>
  <c r="R137" i="1" s="1"/>
  <c r="O7" i="1"/>
  <c r="Q7" i="1" s="1"/>
  <c r="R7" i="1" s="1"/>
  <c r="O176" i="1"/>
  <c r="Q176" i="1" s="1"/>
  <c r="R176" i="1" s="1"/>
  <c r="O92" i="1"/>
  <c r="Q92" i="1" s="1"/>
  <c r="R92" i="1" s="1"/>
  <c r="O114" i="1"/>
  <c r="Q114" i="1" s="1"/>
  <c r="R114" i="1" s="1"/>
  <c r="O113" i="1"/>
  <c r="Q113" i="1" s="1"/>
  <c r="R113" i="1" s="1"/>
  <c r="O96" i="1"/>
  <c r="Q96" i="1" s="1"/>
  <c r="R96" i="1" s="1"/>
  <c r="O235" i="1"/>
  <c r="Q235" i="1" s="1"/>
  <c r="R235" i="1" s="1"/>
  <c r="O140" i="1"/>
  <c r="Q140" i="1" s="1"/>
  <c r="R140" i="1" s="1"/>
  <c r="O162" i="1"/>
  <c r="Q162" i="1" s="1"/>
  <c r="R162" i="1" s="1"/>
  <c r="O161" i="1"/>
  <c r="Q161" i="1" s="1"/>
  <c r="R161" i="1" s="1"/>
  <c r="O144" i="1"/>
  <c r="Q144" i="1" s="1"/>
  <c r="R144" i="1" s="1"/>
  <c r="O183" i="1"/>
  <c r="Q183" i="1" s="1"/>
  <c r="R183" i="1" s="1"/>
  <c r="O200" i="1"/>
  <c r="Q200" i="1" s="1"/>
  <c r="R200" i="1" s="1"/>
  <c r="O126" i="1"/>
  <c r="Q126" i="1" s="1"/>
  <c r="R126" i="1" s="1"/>
  <c r="O37" i="1"/>
  <c r="Q37" i="1" s="1"/>
  <c r="R37" i="1" s="1"/>
  <c r="O289" i="1"/>
  <c r="Q289" i="1" s="1"/>
  <c r="R289" i="1" s="1"/>
  <c r="O68" i="1"/>
  <c r="Q68" i="1" s="1"/>
  <c r="R68" i="1" s="1"/>
  <c r="O90" i="1"/>
  <c r="Q90" i="1" s="1"/>
  <c r="R90" i="1" s="1"/>
  <c r="O89" i="1"/>
  <c r="Q89" i="1" s="1"/>
  <c r="R89" i="1" s="1"/>
  <c r="O72" i="1"/>
  <c r="Q72" i="1" s="1"/>
  <c r="R72" i="1" s="1"/>
  <c r="O184" i="1"/>
  <c r="Q184" i="1" s="1"/>
  <c r="R184" i="1" s="1"/>
  <c r="O135" i="1"/>
  <c r="Q135" i="1" s="1"/>
  <c r="R135" i="1" s="1"/>
  <c r="O54" i="1"/>
  <c r="Q54" i="1" s="1"/>
  <c r="R54" i="1" s="1"/>
  <c r="O93" i="1"/>
  <c r="Q93" i="1" s="1"/>
  <c r="R93" i="1" s="1"/>
  <c r="O187" i="1"/>
  <c r="Q187" i="1" s="1"/>
  <c r="R187" i="1" s="1"/>
  <c r="O188" i="1"/>
  <c r="Q188" i="1" s="1"/>
  <c r="R188" i="1" s="1"/>
  <c r="O210" i="1"/>
  <c r="Q210" i="1" s="1"/>
  <c r="R210" i="1" s="1"/>
  <c r="O281" i="1"/>
  <c r="Q281" i="1" s="1"/>
  <c r="R281" i="1" s="1"/>
  <c r="O216" i="1"/>
  <c r="Q216" i="1" s="1"/>
  <c r="R216" i="1" s="1"/>
  <c r="O280" i="1"/>
  <c r="Q280" i="1" s="1"/>
  <c r="R280" i="1" s="1"/>
  <c r="O294" i="1"/>
  <c r="Q294" i="1" s="1"/>
  <c r="R294" i="1" s="1"/>
  <c r="O182" i="1"/>
  <c r="Q182" i="1" s="1"/>
  <c r="R182" i="1" s="1"/>
  <c r="O213" i="1"/>
  <c r="Q213" i="1" s="1"/>
  <c r="R213" i="1" s="1"/>
  <c r="O155" i="1"/>
  <c r="Q155" i="1" s="1"/>
  <c r="R155" i="1" s="1"/>
  <c r="O201" i="1"/>
  <c r="Q201" i="1" s="1"/>
  <c r="R201" i="1" s="1"/>
  <c r="O52" i="1"/>
  <c r="Q52" i="1" s="1"/>
  <c r="R52" i="1" s="1"/>
  <c r="O74" i="1"/>
  <c r="Q74" i="1" s="1"/>
  <c r="R74" i="1" s="1"/>
  <c r="O73" i="1"/>
  <c r="Q73" i="1" s="1"/>
  <c r="R73" i="1" s="1"/>
  <c r="O56" i="1"/>
  <c r="Q56" i="1" s="1"/>
  <c r="R56" i="1" s="1"/>
  <c r="O271" i="1"/>
  <c r="Q271" i="1" s="1"/>
  <c r="R271" i="1" s="1"/>
  <c r="O103" i="1"/>
  <c r="Q103" i="1" s="1"/>
  <c r="R103" i="1" s="1"/>
  <c r="O38" i="1"/>
  <c r="Q38" i="1" s="1"/>
  <c r="R38" i="1" s="1"/>
  <c r="O13" i="1"/>
  <c r="Q13" i="1" s="1"/>
  <c r="R13" i="1" s="1"/>
  <c r="O227" i="1"/>
  <c r="Q227" i="1" s="1"/>
  <c r="R227" i="1" s="1"/>
  <c r="O108" i="1"/>
  <c r="Q108" i="1" s="1"/>
  <c r="R108" i="1" s="1"/>
  <c r="O130" i="1"/>
  <c r="Q130" i="1" s="1"/>
  <c r="R130" i="1" s="1"/>
  <c r="O129" i="1"/>
  <c r="Q129" i="1" s="1"/>
  <c r="R129" i="1" s="1"/>
  <c r="O112" i="1"/>
  <c r="Q112" i="1" s="1"/>
  <c r="R112" i="1" s="1"/>
  <c r="O11" i="1"/>
  <c r="Q11" i="1" s="1"/>
  <c r="R11" i="1" s="1"/>
  <c r="O239" i="1"/>
  <c r="Q239" i="1" s="1"/>
  <c r="R239" i="1" s="1"/>
  <c r="O94" i="1"/>
  <c r="Q94" i="1" s="1"/>
  <c r="R94" i="1" s="1"/>
  <c r="O133" i="1"/>
  <c r="Q133" i="1" s="1"/>
  <c r="R133" i="1" s="1"/>
  <c r="O51" i="1"/>
  <c r="Q51" i="1" s="1"/>
  <c r="R51" i="1" s="1"/>
  <c r="O39" i="1"/>
  <c r="Q39" i="1" s="1"/>
  <c r="R39" i="1" s="1"/>
  <c r="O29" i="1"/>
  <c r="Q29" i="1" s="1"/>
  <c r="R29" i="1" s="1"/>
  <c r="O292" i="1"/>
  <c r="Q292" i="1" s="1"/>
  <c r="R292" i="1" s="1"/>
  <c r="O36" i="1"/>
  <c r="Q36" i="1" s="1"/>
  <c r="R36" i="1" s="1"/>
  <c r="O58" i="1"/>
  <c r="Q58" i="1" s="1"/>
  <c r="R58" i="1" s="1"/>
  <c r="O57" i="1"/>
  <c r="Q57" i="1" s="1"/>
  <c r="R57" i="1" s="1"/>
  <c r="O40" i="1"/>
  <c r="Q40" i="1" s="1"/>
  <c r="R40" i="1" s="1"/>
  <c r="O215" i="1"/>
  <c r="Q215" i="1" s="1"/>
  <c r="R215" i="1" s="1"/>
  <c r="O63" i="1"/>
  <c r="Q63" i="1" s="1"/>
  <c r="R63" i="1" s="1"/>
  <c r="O22" i="1"/>
  <c r="Q22" i="1" s="1"/>
  <c r="R22" i="1" s="1"/>
  <c r="O61" i="1"/>
  <c r="Q61" i="1" s="1"/>
  <c r="R61" i="1" s="1"/>
  <c r="O20" i="1"/>
  <c r="Q20" i="1" s="1"/>
  <c r="R20" i="1" s="1"/>
  <c r="O152" i="1"/>
  <c r="Q152" i="1" s="1"/>
  <c r="R152" i="1" s="1"/>
  <c r="O206" i="1"/>
  <c r="Q206" i="1" s="1"/>
  <c r="R206" i="1" s="1"/>
  <c r="O267" i="1"/>
  <c r="Q267" i="1" s="1"/>
  <c r="R267" i="1" s="1"/>
  <c r="O284" i="1"/>
  <c r="Q284" i="1" s="1"/>
  <c r="R284" i="1" s="1"/>
  <c r="O28" i="1"/>
  <c r="Q28" i="1" s="1"/>
  <c r="R28" i="1" s="1"/>
  <c r="O185" i="1"/>
  <c r="Q185" i="1" s="1"/>
  <c r="R185" i="1" s="1"/>
  <c r="O12" i="1"/>
  <c r="Q12" i="1" s="1"/>
  <c r="R12" i="1" s="1"/>
  <c r="O151" i="1"/>
  <c r="Q151" i="1" s="1"/>
  <c r="R151" i="1" s="1"/>
  <c r="O293" i="1"/>
  <c r="Q293" i="1" s="1"/>
  <c r="R293" i="1" s="1"/>
  <c r="O218" i="1"/>
  <c r="Q218" i="1" s="1"/>
  <c r="R218" i="1" s="1"/>
  <c r="O224" i="1"/>
  <c r="Q224" i="1" s="1"/>
  <c r="R224" i="1" s="1"/>
  <c r="O23" i="1"/>
  <c r="Q23" i="1" s="1"/>
  <c r="R23" i="1" s="1"/>
  <c r="O221" i="1"/>
  <c r="Q221" i="1" s="1"/>
  <c r="R221" i="1" s="1"/>
  <c r="O241" i="1"/>
  <c r="Q241" i="1" s="1"/>
  <c r="R241" i="1" s="1"/>
  <c r="O82" i="1"/>
  <c r="Q82" i="1" s="1"/>
  <c r="R82" i="1" s="1"/>
  <c r="O81" i="1"/>
  <c r="Q81" i="1" s="1"/>
  <c r="R81" i="1" s="1"/>
  <c r="O287" i="1"/>
  <c r="Q287" i="1" s="1"/>
  <c r="R287" i="1" s="1"/>
  <c r="O46" i="1"/>
  <c r="Q46" i="1" s="1"/>
  <c r="R46" i="1" s="1"/>
  <c r="O123" i="1"/>
  <c r="Q123" i="1" s="1"/>
  <c r="R123" i="1" s="1"/>
  <c r="O202" i="1"/>
  <c r="Q202" i="1" s="1"/>
  <c r="R202" i="1" s="1"/>
  <c r="O249" i="1"/>
  <c r="Q249" i="1" s="1"/>
  <c r="R249" i="1" s="1"/>
  <c r="O208" i="1"/>
  <c r="Q208" i="1" s="1"/>
  <c r="R208" i="1" s="1"/>
  <c r="O270" i="1"/>
  <c r="Q270" i="1" s="1"/>
  <c r="R270" i="1" s="1"/>
  <c r="O174" i="1"/>
  <c r="Q174" i="1" s="1"/>
  <c r="R174" i="1" s="1"/>
  <c r="O205" i="1"/>
  <c r="Q205" i="1" s="1"/>
  <c r="R205" i="1" s="1"/>
  <c r="O219" i="1"/>
  <c r="Q219" i="1" s="1"/>
  <c r="R219" i="1" s="1"/>
  <c r="O236" i="1"/>
  <c r="Q236" i="1" s="1"/>
  <c r="R236" i="1" s="1"/>
  <c r="O99" i="1"/>
  <c r="Q99" i="1" s="1"/>
  <c r="R99" i="1" s="1"/>
  <c r="O288" i="1"/>
  <c r="Q288" i="1" s="1"/>
  <c r="R288" i="1" s="1"/>
  <c r="O297" i="1"/>
  <c r="Q297" i="1" s="1"/>
  <c r="R297" i="1" s="1"/>
  <c r="O71" i="1"/>
  <c r="Q71" i="1" s="1"/>
  <c r="R71" i="1" s="1"/>
  <c r="O238" i="1"/>
  <c r="Q238" i="1" s="1"/>
  <c r="R238" i="1" s="1"/>
  <c r="O261" i="1"/>
  <c r="Q261" i="1" s="1"/>
  <c r="R261" i="1" s="1"/>
  <c r="O5" i="1"/>
  <c r="Q5" i="1" s="1"/>
  <c r="R5" i="1" s="1"/>
  <c r="O88" i="1"/>
  <c r="Q88" i="1" s="1"/>
  <c r="R88" i="1" s="1"/>
  <c r="O237" i="1"/>
  <c r="Q237" i="1" s="1"/>
  <c r="R237" i="1" s="1"/>
  <c r="O243" i="1"/>
  <c r="Q243" i="1" s="1"/>
  <c r="R243" i="1" s="1"/>
  <c r="O268" i="1"/>
  <c r="Q268" i="1" s="1"/>
  <c r="R268" i="1" s="1"/>
  <c r="O16" i="1"/>
  <c r="Q16" i="1" s="1"/>
  <c r="R16" i="1" s="1"/>
  <c r="O286" i="1"/>
  <c r="Q286" i="1" s="1"/>
  <c r="R286" i="1" s="1"/>
  <c r="O298" i="1"/>
  <c r="Q298" i="1" s="1"/>
  <c r="R298" i="1" s="1"/>
  <c r="O177" i="1"/>
  <c r="Q177" i="1" s="1"/>
  <c r="R177" i="1" s="1"/>
  <c r="O190" i="1"/>
  <c r="Q190" i="1" s="1"/>
  <c r="R190" i="1" s="1"/>
  <c r="O275" i="1"/>
  <c r="Q275" i="1" s="1"/>
  <c r="R275" i="1" s="1"/>
  <c r="O60" i="1"/>
  <c r="Q60" i="1" s="1"/>
  <c r="R60" i="1" s="1"/>
  <c r="O64" i="1"/>
  <c r="Q64" i="1" s="1"/>
  <c r="R64" i="1" s="1"/>
  <c r="O119" i="1"/>
  <c r="Q119" i="1" s="1"/>
  <c r="R119" i="1" s="1"/>
  <c r="O85" i="1"/>
  <c r="Q85" i="1" s="1"/>
  <c r="R85" i="1" s="1"/>
  <c r="O180" i="1"/>
  <c r="Q180" i="1" s="1"/>
  <c r="R180" i="1" s="1"/>
  <c r="O192" i="1"/>
  <c r="Q192" i="1" s="1"/>
  <c r="R192" i="1" s="1"/>
  <c r="O258" i="1"/>
  <c r="Q258" i="1" s="1"/>
  <c r="R258" i="1" s="1"/>
  <c r="O139" i="1"/>
  <c r="Q139" i="1" s="1"/>
  <c r="R139" i="1" s="1"/>
  <c r="O34" i="1"/>
  <c r="Q34" i="1" s="1"/>
  <c r="R34" i="1" s="1"/>
  <c r="O196" i="1"/>
  <c r="Q196" i="1" s="1"/>
  <c r="R196" i="1" s="1"/>
  <c r="O33" i="1"/>
  <c r="Q33" i="1" s="1"/>
  <c r="R33" i="1" s="1"/>
  <c r="O251" i="1"/>
  <c r="Q251" i="1" s="1"/>
  <c r="R251" i="1" s="1"/>
  <c r="O50" i="1"/>
  <c r="Q50" i="1" s="1"/>
  <c r="R50" i="1" s="1"/>
  <c r="O49" i="1"/>
  <c r="Q49" i="1" s="1"/>
  <c r="R49" i="1" s="1"/>
  <c r="O32" i="1"/>
  <c r="Q32" i="1" s="1"/>
  <c r="R32" i="1" s="1"/>
  <c r="O199" i="1"/>
  <c r="Q199" i="1" s="1"/>
  <c r="R199" i="1" s="1"/>
  <c r="O15" i="1"/>
  <c r="Q15" i="1" s="1"/>
  <c r="R15" i="1" s="1"/>
  <c r="O6" i="1"/>
  <c r="Q6" i="1" s="1"/>
  <c r="R6" i="1" s="1"/>
  <c r="O53" i="1"/>
  <c r="Q53" i="1" s="1"/>
  <c r="R53" i="1" s="1"/>
  <c r="O84" i="1"/>
  <c r="Q84" i="1" s="1"/>
  <c r="R84" i="1" s="1"/>
  <c r="O240" i="1"/>
  <c r="Q240" i="1" s="1"/>
  <c r="R240" i="1" s="1"/>
  <c r="O302" i="1"/>
  <c r="Q302" i="1" s="1"/>
  <c r="R302" i="1" s="1"/>
  <c r="O98" i="1"/>
  <c r="Q98" i="1" s="1"/>
  <c r="R98" i="1" s="1"/>
  <c r="O259" i="1"/>
  <c r="Q259" i="1" s="1"/>
  <c r="R259" i="1" s="1"/>
  <c r="O25" i="1"/>
  <c r="Q25" i="1" s="1"/>
  <c r="R25" i="1" s="1"/>
  <c r="O127" i="1"/>
  <c r="Q127" i="1" s="1"/>
  <c r="R127" i="1" s="1"/>
  <c r="O107" i="1"/>
  <c r="Q107" i="1" s="1"/>
  <c r="R107" i="1" s="1"/>
  <c r="O146" i="1"/>
  <c r="Q146" i="1" s="1"/>
  <c r="R146" i="1" s="1"/>
  <c r="O128" i="1"/>
  <c r="Q128" i="1" s="1"/>
  <c r="R128" i="1" s="1"/>
  <c r="O110" i="1"/>
  <c r="Q110" i="1" s="1"/>
  <c r="R110" i="1" s="1"/>
  <c r="O131" i="1"/>
  <c r="Q131" i="1" s="1"/>
  <c r="R131" i="1" s="1"/>
  <c r="O266" i="1"/>
  <c r="Q266" i="1" s="1"/>
  <c r="R266" i="1" s="1"/>
  <c r="O9" i="1"/>
  <c r="Q9" i="1" s="1"/>
  <c r="R9" i="1" s="1"/>
  <c r="O95" i="1"/>
  <c r="Q95" i="1" s="1"/>
  <c r="R95" i="1" s="1"/>
  <c r="O269" i="1"/>
  <c r="Q269" i="1" s="1"/>
  <c r="R269" i="1" s="1"/>
  <c r="O300" i="1"/>
  <c r="Q300" i="1" s="1"/>
  <c r="R300" i="1" s="1"/>
  <c r="O66" i="1"/>
  <c r="Q66" i="1" s="1"/>
  <c r="R66" i="1" s="1"/>
  <c r="O48" i="1"/>
  <c r="Q48" i="1" s="1"/>
  <c r="R48" i="1" s="1"/>
  <c r="O247" i="1"/>
  <c r="Q247" i="1" s="1"/>
  <c r="R247" i="1" s="1"/>
  <c r="O30" i="1"/>
  <c r="Q30" i="1" s="1"/>
  <c r="R30" i="1" s="1"/>
  <c r="O41" i="1"/>
  <c r="Q41" i="1" s="1"/>
  <c r="R41" i="1" s="1"/>
  <c r="O134" i="1"/>
  <c r="Q134" i="1" s="1"/>
  <c r="R134" i="1" s="1"/>
  <c r="O83" i="1"/>
  <c r="Q83" i="1" s="1"/>
  <c r="R83" i="1" s="1"/>
  <c r="O228" i="1"/>
  <c r="Q228" i="1" s="1"/>
  <c r="R228" i="1" s="1"/>
  <c r="O250" i="1"/>
  <c r="Q250" i="1" s="1"/>
  <c r="R250" i="1" s="1"/>
  <c r="O67" i="1"/>
  <c r="Q67" i="1" s="1"/>
  <c r="R67" i="1" s="1"/>
  <c r="O273" i="1"/>
  <c r="Q273" i="1" s="1"/>
  <c r="R273" i="1" s="1"/>
  <c r="O55" i="1"/>
  <c r="Q55" i="1" s="1"/>
  <c r="R55" i="1" s="1"/>
  <c r="O230" i="1"/>
  <c r="Q230" i="1" s="1"/>
  <c r="R230" i="1" s="1"/>
  <c r="O253" i="1"/>
  <c r="Q253" i="1" s="1"/>
  <c r="R253" i="1" s="1"/>
  <c r="O203" i="1"/>
  <c r="Q203" i="1" s="1"/>
  <c r="R203" i="1" s="1"/>
  <c r="O170" i="1"/>
  <c r="Q170" i="1" s="1"/>
  <c r="R170" i="1" s="1"/>
  <c r="O233" i="1"/>
  <c r="Q233" i="1" s="1"/>
  <c r="R233" i="1" s="1"/>
  <c r="O70" i="1"/>
  <c r="Q70" i="1" s="1"/>
  <c r="R70" i="1" s="1"/>
  <c r="O211" i="1"/>
  <c r="Q211" i="1" s="1"/>
  <c r="R211" i="1" s="1"/>
  <c r="O220" i="1"/>
  <c r="Q220" i="1" s="1"/>
  <c r="R220" i="1" s="1"/>
  <c r="O242" i="1"/>
  <c r="Q242" i="1" s="1"/>
  <c r="R242" i="1" s="1"/>
  <c r="O59" i="1"/>
  <c r="Q59" i="1" s="1"/>
  <c r="R59" i="1" s="1"/>
  <c r="O248" i="1"/>
  <c r="Q248" i="1" s="1"/>
  <c r="R248" i="1" s="1"/>
  <c r="O80" i="1"/>
  <c r="Q80" i="1" s="1"/>
  <c r="R80" i="1" s="1"/>
  <c r="O27" i="1"/>
  <c r="Q27" i="1" s="1"/>
  <c r="R27" i="1" s="1"/>
  <c r="O8" i="1"/>
  <c r="Q8" i="1" s="1"/>
  <c r="R8" i="1" s="1"/>
  <c r="O278" i="1"/>
  <c r="Q278" i="1" s="1"/>
  <c r="R278" i="1" s="1"/>
  <c r="O124" i="1"/>
  <c r="Q124" i="1" s="1"/>
  <c r="R124" i="1" s="1"/>
  <c r="O145" i="1"/>
  <c r="Q145" i="1" s="1"/>
  <c r="R145" i="1" s="1"/>
  <c r="O87" i="1"/>
  <c r="Q87" i="1" s="1"/>
  <c r="R87" i="1" s="1"/>
  <c r="O279" i="1"/>
  <c r="Q279" i="1" s="1"/>
  <c r="R279" i="1" s="1"/>
  <c r="O149" i="1"/>
  <c r="Q149" i="1" s="1"/>
  <c r="R149" i="1" s="1"/>
  <c r="O244" i="1"/>
  <c r="Q244" i="1" s="1"/>
  <c r="R244" i="1" s="1"/>
  <c r="O10" i="1"/>
  <c r="Q10" i="1" s="1"/>
  <c r="R10" i="1" s="1"/>
  <c r="O274" i="1"/>
  <c r="Q274" i="1" s="1"/>
  <c r="R274" i="1" s="1"/>
  <c r="O254" i="1"/>
  <c r="Q254" i="1" s="1"/>
  <c r="R254" i="1" s="1"/>
  <c r="O272" i="1"/>
  <c r="Q272" i="1" s="1"/>
  <c r="R272" i="1" s="1"/>
  <c r="O44" i="1"/>
  <c r="Q44" i="1" s="1"/>
  <c r="R44" i="1" s="1"/>
  <c r="O65" i="1"/>
  <c r="Q65" i="1" s="1"/>
  <c r="R65" i="1" s="1"/>
  <c r="O79" i="1"/>
  <c r="Q79" i="1" s="1"/>
  <c r="R79" i="1" s="1"/>
  <c r="O69" i="1"/>
  <c r="Q69" i="1" s="1"/>
  <c r="R69" i="1" s="1"/>
  <c r="O264" i="1"/>
  <c r="Q264" i="1" s="1"/>
  <c r="R264" i="1" s="1"/>
  <c r="O97" i="1"/>
  <c r="Q97" i="1" s="1"/>
  <c r="R97" i="1" s="1"/>
  <c r="O260" i="1"/>
  <c r="Q260" i="1" s="1"/>
  <c r="R260" i="1" s="1"/>
  <c r="O285" i="1"/>
  <c r="Q285" i="1" s="1"/>
  <c r="R285" i="1" s="1"/>
  <c r="O76" i="1"/>
  <c r="Q76" i="1" s="1"/>
  <c r="R76" i="1" s="1"/>
  <c r="O159" i="1"/>
  <c r="Q159" i="1" s="1"/>
  <c r="R159" i="1" s="1"/>
  <c r="O26" i="1"/>
  <c r="Q26" i="1" s="1"/>
  <c r="R26" i="1" s="1"/>
  <c r="O77" i="1"/>
  <c r="Q77" i="1" s="1"/>
  <c r="R77" i="1" s="1"/>
  <c r="O290" i="1"/>
  <c r="Q290" i="1" s="1"/>
  <c r="R290" i="1" s="1"/>
  <c r="O62" i="1"/>
  <c r="Q62" i="1" s="1"/>
  <c r="R62" i="1" s="1"/>
  <c r="O191" i="1"/>
  <c r="Q191" i="1" s="1"/>
  <c r="R191" i="1" s="1"/>
  <c r="O78" i="1"/>
  <c r="Q78" i="1" s="1"/>
  <c r="R78" i="1" s="1"/>
  <c r="O117" i="1"/>
  <c r="Q117" i="1" s="1"/>
  <c r="R117" i="1" s="1"/>
  <c r="O276" i="1"/>
  <c r="Q276" i="1" s="1"/>
  <c r="R276" i="1" s="1"/>
  <c r="O169" i="1"/>
  <c r="Q169" i="1" s="1"/>
  <c r="R169" i="1" s="1"/>
  <c r="O14" i="1"/>
  <c r="Q14" i="1" s="1"/>
  <c r="R14" i="1" s="1"/>
  <c r="O101" i="1"/>
  <c r="Q101" i="1" s="1"/>
  <c r="R101" i="1" s="1"/>
  <c r="O256" i="1"/>
  <c r="Q256" i="1" s="1"/>
  <c r="R256" i="1" s="1"/>
  <c r="O257" i="1"/>
  <c r="Q257" i="1" s="1"/>
  <c r="R257" i="1" s="1"/>
  <c r="O47" i="1"/>
  <c r="Q47" i="1" s="1"/>
  <c r="R47" i="1" s="1"/>
  <c r="O222" i="1"/>
  <c r="Q222" i="1" s="1"/>
  <c r="R222" i="1" s="1"/>
  <c r="O245" i="1"/>
  <c r="Q245" i="1" s="1"/>
  <c r="R245" i="1" s="1"/>
  <c r="O147" i="1"/>
  <c r="Q147" i="1" s="1"/>
  <c r="R147" i="1" s="1"/>
  <c r="O234" i="1"/>
  <c r="Q234" i="1" s="1"/>
  <c r="R234" i="1" s="1"/>
  <c r="O24" i="1"/>
  <c r="Q24" i="1" s="1"/>
  <c r="R24" i="1" s="1"/>
  <c r="O301" i="1"/>
  <c r="Q301" i="1" s="1"/>
  <c r="R301" i="1" s="1"/>
  <c r="O164" i="1"/>
  <c r="Q164" i="1" s="1"/>
  <c r="R164" i="1" s="1"/>
  <c r="O186" i="1"/>
  <c r="Q186" i="1" s="1"/>
  <c r="R186" i="1" s="1"/>
  <c r="O209" i="1"/>
  <c r="Q209" i="1" s="1"/>
  <c r="R209" i="1" s="1"/>
  <c r="O168" i="1"/>
  <c r="Q168" i="1" s="1"/>
  <c r="R168" i="1" s="1"/>
  <c r="O263" i="1"/>
  <c r="Q263" i="1" s="1"/>
  <c r="R263" i="1" s="1"/>
  <c r="O214" i="1"/>
  <c r="Q214" i="1" s="1"/>
  <c r="R214" i="1" s="1"/>
  <c r="O158" i="1"/>
  <c r="Q158" i="1" s="1"/>
  <c r="R158" i="1" s="1"/>
  <c r="O189" i="1"/>
  <c r="Q189" i="1" s="1"/>
  <c r="R189" i="1" s="1"/>
  <c r="O35" i="1"/>
  <c r="Q35" i="1" s="1"/>
  <c r="R35" i="1" s="1"/>
  <c r="O42" i="1"/>
  <c r="Q42" i="1" s="1"/>
  <c r="R42" i="1" s="1"/>
  <c r="O175" i="1"/>
  <c r="Q175" i="1" s="1"/>
  <c r="R175" i="1" s="1"/>
  <c r="O173" i="1"/>
  <c r="Q173" i="1" s="1"/>
  <c r="R173" i="1" s="1"/>
  <c r="O179" i="1"/>
  <c r="Q179" i="1" s="1"/>
  <c r="R179" i="1" s="1"/>
  <c r="O156" i="1"/>
  <c r="Q156" i="1" s="1"/>
  <c r="R156" i="1" s="1"/>
  <c r="O178" i="1"/>
  <c r="Q178" i="1" s="1"/>
  <c r="R178" i="1" s="1"/>
  <c r="O193" i="1"/>
  <c r="Q193" i="1" s="1"/>
  <c r="R193" i="1" s="1"/>
  <c r="O160" i="1"/>
  <c r="Q160" i="1" s="1"/>
  <c r="R160" i="1" s="1"/>
  <c r="O231" i="1"/>
  <c r="Q231" i="1" s="1"/>
  <c r="R231" i="1" s="1"/>
  <c r="O150" i="1"/>
  <c r="Q150" i="1" s="1"/>
  <c r="R150" i="1" s="1"/>
  <c r="O142" i="1"/>
  <c r="Q142" i="1" s="1"/>
  <c r="R142" i="1" s="1"/>
  <c r="O181" i="1"/>
  <c r="Q181" i="1" s="1"/>
  <c r="R181" i="1" s="1"/>
  <c r="O291" i="1"/>
  <c r="Q291" i="1" s="1"/>
  <c r="R291" i="1" s="1"/>
  <c r="O106" i="1"/>
  <c r="Q106" i="1" s="1"/>
  <c r="R106" i="1" s="1"/>
  <c r="O296" i="1"/>
  <c r="Q296" i="1" s="1"/>
  <c r="R296" i="1" s="1"/>
  <c r="O109" i="1"/>
  <c r="Q109" i="1" s="1"/>
  <c r="R10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6F0C56-C730-4735-9BBB-2441A26B818D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42C7146-3BAE-428E-A793-FED9777C92D0}" name="WorksheetConnection_Parcelas Vencidas!$A$3:$S$303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ParcelasVencidasA3S3031"/>
        </x15:connection>
      </ext>
    </extLst>
  </connection>
</connections>
</file>

<file path=xl/sharedStrings.xml><?xml version="1.0" encoding="utf-8"?>
<sst xmlns="http://schemas.openxmlformats.org/spreadsheetml/2006/main" count="955" uniqueCount="763">
  <si>
    <t>Relatório de Parcelas Vencidas</t>
  </si>
  <si>
    <t>Código</t>
  </si>
  <si>
    <t>Data Emissão</t>
  </si>
  <si>
    <t>Data de Vencimento</t>
  </si>
  <si>
    <t>Valor Original</t>
  </si>
  <si>
    <t>Taxa de Juros (% a.m.)</t>
  </si>
  <si>
    <t>Multa (%)</t>
  </si>
  <si>
    <t>Mora Diária (%)</t>
  </si>
  <si>
    <t>PARC-1001</t>
  </si>
  <si>
    <t>13/04/2025</t>
  </si>
  <si>
    <t>17/05/2025</t>
  </si>
  <si>
    <t>PARC-1002</t>
  </si>
  <si>
    <t>07/09/2026</t>
  </si>
  <si>
    <t>17/10/2026</t>
  </si>
  <si>
    <t>PARC-1003</t>
  </si>
  <si>
    <t>10/04/2025</t>
  </si>
  <si>
    <t>02/05/2025</t>
  </si>
  <si>
    <t>PARC-1004</t>
  </si>
  <si>
    <t>07/05/2026</t>
  </si>
  <si>
    <t>20/06/2026</t>
  </si>
  <si>
    <t>PARC-1005</t>
  </si>
  <si>
    <t>05/04/2026</t>
  </si>
  <si>
    <t>15/05/2026</t>
  </si>
  <si>
    <t>PARC-1006</t>
  </si>
  <si>
    <t>28/02/2025</t>
  </si>
  <si>
    <t>24/03/2025</t>
  </si>
  <si>
    <t>PARC-1007</t>
  </si>
  <si>
    <t>17/07/2026</t>
  </si>
  <si>
    <t>12/08/2026</t>
  </si>
  <si>
    <t>PARC-1008</t>
  </si>
  <si>
    <t>21/01/2025</t>
  </si>
  <si>
    <t>13/02/2025</t>
  </si>
  <si>
    <t>PARC-1009</t>
  </si>
  <si>
    <t>30/08/2025</t>
  </si>
  <si>
    <t>09/10/2025</t>
  </si>
  <si>
    <t>PARC-1010</t>
  </si>
  <si>
    <t>02/01/2026</t>
  </si>
  <si>
    <t>13/02/2026</t>
  </si>
  <si>
    <t>PARC-1011</t>
  </si>
  <si>
    <t>25/07/2025</t>
  </si>
  <si>
    <t>25/08/2025</t>
  </si>
  <si>
    <t>PARC-1012</t>
  </si>
  <si>
    <t>25/01/2026</t>
  </si>
  <si>
    <t>02/03/2026</t>
  </si>
  <si>
    <t>PARC-1013</t>
  </si>
  <si>
    <t>10/07/2026</t>
  </si>
  <si>
    <t>26/07/2026</t>
  </si>
  <si>
    <t>PARC-1014</t>
  </si>
  <si>
    <t>28/09/2025</t>
  </si>
  <si>
    <t>20/10/2025</t>
  </si>
  <si>
    <t>PARC-1015</t>
  </si>
  <si>
    <t>04/12/2025</t>
  </si>
  <si>
    <t>PARC-1016</t>
  </si>
  <si>
    <t>15/01/2026</t>
  </si>
  <si>
    <t>11/02/2026</t>
  </si>
  <si>
    <t>PARC-1017</t>
  </si>
  <si>
    <t>05/06/2026</t>
  </si>
  <si>
    <t>13/07/2026</t>
  </si>
  <si>
    <t>PARC-1018</t>
  </si>
  <si>
    <t>14/05/2026</t>
  </si>
  <si>
    <t>14/06/2026</t>
  </si>
  <si>
    <t>PARC-1019</t>
  </si>
  <si>
    <t>05/05/2026</t>
  </si>
  <si>
    <t>26/05/2026</t>
  </si>
  <si>
    <t>PARC-1020</t>
  </si>
  <si>
    <t>02/02/2025</t>
  </si>
  <si>
    <t>04/03/2025</t>
  </si>
  <si>
    <t>PARC-1021</t>
  </si>
  <si>
    <t>01/07/2026</t>
  </si>
  <si>
    <t>16/07/2026</t>
  </si>
  <si>
    <t>PARC-1022</t>
  </si>
  <si>
    <t>05/01/2025</t>
  </si>
  <si>
    <t>14/02/2025</t>
  </si>
  <si>
    <t>PARC-1023</t>
  </si>
  <si>
    <t>26/07/2025</t>
  </si>
  <si>
    <t>24/08/2025</t>
  </si>
  <si>
    <t>PARC-1024</t>
  </si>
  <si>
    <t>29/08/2025</t>
  </si>
  <si>
    <t>02/10/2025</t>
  </si>
  <si>
    <t>PARC-1025</t>
  </si>
  <si>
    <t>19/08/2025</t>
  </si>
  <si>
    <t>15/09/2025</t>
  </si>
  <si>
    <t>PARC-1026</t>
  </si>
  <si>
    <t>31/08/2025</t>
  </si>
  <si>
    <t>06/10/2025</t>
  </si>
  <si>
    <t>PARC-1027</t>
  </si>
  <si>
    <t>28/01/2025</t>
  </si>
  <si>
    <t>23/02/2025</t>
  </si>
  <si>
    <t>PARC-1028</t>
  </si>
  <si>
    <t>21/05/2026</t>
  </si>
  <si>
    <t>27/06/2026</t>
  </si>
  <si>
    <t>PARC-1029</t>
  </si>
  <si>
    <t>12/01/2026</t>
  </si>
  <si>
    <t>22/02/2026</t>
  </si>
  <si>
    <t>PARC-1030</t>
  </si>
  <si>
    <t>25/12/2025</t>
  </si>
  <si>
    <t>14/01/2026</t>
  </si>
  <si>
    <t>PARC-1031</t>
  </si>
  <si>
    <t>22/08/2025</t>
  </si>
  <si>
    <t>17/09/2025</t>
  </si>
  <si>
    <t>PARC-1032</t>
  </si>
  <si>
    <t>17/04/2026</t>
  </si>
  <si>
    <t>10/05/2026</t>
  </si>
  <si>
    <t>PARC-1033</t>
  </si>
  <si>
    <t>25/09/2025</t>
  </si>
  <si>
    <t>08/11/2025</t>
  </si>
  <si>
    <t>PARC-1034</t>
  </si>
  <si>
    <t>22/03/2025</t>
  </si>
  <si>
    <t>PARC-1035</t>
  </si>
  <si>
    <t>13/08/2025</t>
  </si>
  <si>
    <t>28/08/2025</t>
  </si>
  <si>
    <t>PARC-1036</t>
  </si>
  <si>
    <t>20/02/2026</t>
  </si>
  <si>
    <t>29/03/2026</t>
  </si>
  <si>
    <t>PARC-1037</t>
  </si>
  <si>
    <t>21/10/2025</t>
  </si>
  <si>
    <t>28/11/2025</t>
  </si>
  <si>
    <t>PARC-1038</t>
  </si>
  <si>
    <t>25/06/2026</t>
  </si>
  <si>
    <t>PARC-1039</t>
  </si>
  <si>
    <t>09/04/2026</t>
  </si>
  <si>
    <t>22/05/2026</t>
  </si>
  <si>
    <t>PARC-1040</t>
  </si>
  <si>
    <t>12/12/2025</t>
  </si>
  <si>
    <t>29/12/2025</t>
  </si>
  <si>
    <t>PARC-1041</t>
  </si>
  <si>
    <t>04/05/2026</t>
  </si>
  <si>
    <t>19/05/2026</t>
  </si>
  <si>
    <t>PARC-1042</t>
  </si>
  <si>
    <t>18/04/2026</t>
  </si>
  <si>
    <t>20/05/2026</t>
  </si>
  <si>
    <t>PARC-1043</t>
  </si>
  <si>
    <t>24/05/2025</t>
  </si>
  <si>
    <t>03/07/2025</t>
  </si>
  <si>
    <t>PARC-1044</t>
  </si>
  <si>
    <t>31/10/2025</t>
  </si>
  <si>
    <t>14/12/2025</t>
  </si>
  <si>
    <t>PARC-1045</t>
  </si>
  <si>
    <t>09/01/2025</t>
  </si>
  <si>
    <t>01/02/2025</t>
  </si>
  <si>
    <t>PARC-1046</t>
  </si>
  <si>
    <t>01/06/2025</t>
  </si>
  <si>
    <t>07/07/2025</t>
  </si>
  <si>
    <t>PARC-1047</t>
  </si>
  <si>
    <t>24/02/2026</t>
  </si>
  <si>
    <t>16/03/2026</t>
  </si>
  <si>
    <t>PARC-1048</t>
  </si>
  <si>
    <t>PARC-1049</t>
  </si>
  <si>
    <t>12/06/2025</t>
  </si>
  <si>
    <t>12/07/2025</t>
  </si>
  <si>
    <t>PARC-1050</t>
  </si>
  <si>
    <t>02/02/2026</t>
  </si>
  <si>
    <t>09/03/2026</t>
  </si>
  <si>
    <t>PARC-1051</t>
  </si>
  <si>
    <t>14/07/2025</t>
  </si>
  <si>
    <t>14/08/2025</t>
  </si>
  <si>
    <t>PARC-1052</t>
  </si>
  <si>
    <t>15/04/2026</t>
  </si>
  <si>
    <t>PARC-1053</t>
  </si>
  <si>
    <t>22/08/2026</t>
  </si>
  <si>
    <t>PARC-1054</t>
  </si>
  <si>
    <t>01/09/2026</t>
  </si>
  <si>
    <t>13/10/2026</t>
  </si>
  <si>
    <t>PARC-1055</t>
  </si>
  <si>
    <t>31/05/2026</t>
  </si>
  <si>
    <t>17/06/2026</t>
  </si>
  <si>
    <t>PARC-1056</t>
  </si>
  <si>
    <t>07/06/2025</t>
  </si>
  <si>
    <t>20/07/2025</t>
  </si>
  <si>
    <t>PARC-1057</t>
  </si>
  <si>
    <t>06/02/2025</t>
  </si>
  <si>
    <t>16/03/2025</t>
  </si>
  <si>
    <t>PARC-1058</t>
  </si>
  <si>
    <t>26/04/2025</t>
  </si>
  <si>
    <t>08/06/2025</t>
  </si>
  <si>
    <t>PARC-1059</t>
  </si>
  <si>
    <t>08/05/2025</t>
  </si>
  <si>
    <t>09/06/2025</t>
  </si>
  <si>
    <t>PARC-1060</t>
  </si>
  <si>
    <t>18/09/2026</t>
  </si>
  <si>
    <t>PARC-1061</t>
  </si>
  <si>
    <t>21/01/2026</t>
  </si>
  <si>
    <t>PARC-1062</t>
  </si>
  <si>
    <t>25/06/2025</t>
  </si>
  <si>
    <t>16/07/2025</t>
  </si>
  <si>
    <t>PARC-1063</t>
  </si>
  <si>
    <t>12/02/2026</t>
  </si>
  <si>
    <t>11/03/2026</t>
  </si>
  <si>
    <t>PARC-1064</t>
  </si>
  <si>
    <t>20/01/2025</t>
  </si>
  <si>
    <t>04/02/2025</t>
  </si>
  <si>
    <t>PARC-1065</t>
  </si>
  <si>
    <t>16/04/2026</t>
  </si>
  <si>
    <t>PARC-1066</t>
  </si>
  <si>
    <t>20/02/2025</t>
  </si>
  <si>
    <t>31/03/2025</t>
  </si>
  <si>
    <t>PARC-1067</t>
  </si>
  <si>
    <t>24/07/2026</t>
  </si>
  <si>
    <t>29/08/2026</t>
  </si>
  <si>
    <t>PARC-1068</t>
  </si>
  <si>
    <t>20/03/2026</t>
  </si>
  <si>
    <t>08/04/2026</t>
  </si>
  <si>
    <t>PARC-1069</t>
  </si>
  <si>
    <t>26/01/2025</t>
  </si>
  <si>
    <t>PARC-1070</t>
  </si>
  <si>
    <t>16/02/2025</t>
  </si>
  <si>
    <t>05/03/2025</t>
  </si>
  <si>
    <t>PARC-1071</t>
  </si>
  <si>
    <t>28/09/2026</t>
  </si>
  <si>
    <t>22/10/2026</t>
  </si>
  <si>
    <t>PARC-1072</t>
  </si>
  <si>
    <t>27/08/2026</t>
  </si>
  <si>
    <t>06/10/2026</t>
  </si>
  <si>
    <t>PARC-1073</t>
  </si>
  <si>
    <t>07/05/2025</t>
  </si>
  <si>
    <t>30/05/2025</t>
  </si>
  <si>
    <t>PARC-1074</t>
  </si>
  <si>
    <t>06/04/2025</t>
  </si>
  <si>
    <t>20/05/2025</t>
  </si>
  <si>
    <t>PARC-1075</t>
  </si>
  <si>
    <t>29/09/2025</t>
  </si>
  <si>
    <t>11/11/2025</t>
  </si>
  <si>
    <t>PARC-1076</t>
  </si>
  <si>
    <t>04/09/2025</t>
  </si>
  <si>
    <t>21/09/2025</t>
  </si>
  <si>
    <t>PARC-1077</t>
  </si>
  <si>
    <t>12/10/2025</t>
  </si>
  <si>
    <t>09/11/2025</t>
  </si>
  <si>
    <t>PARC-1078</t>
  </si>
  <si>
    <t>24/04/2026</t>
  </si>
  <si>
    <t>PARC-1079</t>
  </si>
  <si>
    <t>04/09/2026</t>
  </si>
  <si>
    <t>19/09/2026</t>
  </si>
  <si>
    <t>PARC-1080</t>
  </si>
  <si>
    <t>PARC-1081</t>
  </si>
  <si>
    <t>31/08/2026</t>
  </si>
  <si>
    <t>15/09/2026</t>
  </si>
  <si>
    <t>PARC-1082</t>
  </si>
  <si>
    <t>02/12/2025</t>
  </si>
  <si>
    <t>08/01/2026</t>
  </si>
  <si>
    <t>PARC-1083</t>
  </si>
  <si>
    <t>30/01/2026</t>
  </si>
  <si>
    <t>PARC-1084</t>
  </si>
  <si>
    <t>31/07/2026</t>
  </si>
  <si>
    <t>15/08/2026</t>
  </si>
  <si>
    <t>PARC-1085</t>
  </si>
  <si>
    <t>12/01/2025</t>
  </si>
  <si>
    <t>09/02/2025</t>
  </si>
  <si>
    <t>PARC-1086</t>
  </si>
  <si>
    <t>22/04/2025</t>
  </si>
  <si>
    <t>PARC-1087</t>
  </si>
  <si>
    <t>25/04/2025</t>
  </si>
  <si>
    <t>18/05/2025</t>
  </si>
  <si>
    <t>PARC-1088</t>
  </si>
  <si>
    <t>28/04/2025</t>
  </si>
  <si>
    <t>PARC-1089</t>
  </si>
  <si>
    <t>29/01/2026</t>
  </si>
  <si>
    <t>17/02/2026</t>
  </si>
  <si>
    <t>PARC-1090</t>
  </si>
  <si>
    <t>02/07/2026</t>
  </si>
  <si>
    <t>03/08/2026</t>
  </si>
  <si>
    <t>PARC-1091</t>
  </si>
  <si>
    <t>PARC-1092</t>
  </si>
  <si>
    <t>30/09/2025</t>
  </si>
  <si>
    <t>PARC-1093</t>
  </si>
  <si>
    <t>19/01/2025</t>
  </si>
  <si>
    <t>19/02/2025</t>
  </si>
  <si>
    <t>PARC-1094</t>
  </si>
  <si>
    <t>22/09/2025</t>
  </si>
  <si>
    <t>13/10/2025</t>
  </si>
  <si>
    <t>PARC-1095</t>
  </si>
  <si>
    <t>19/06/2026</t>
  </si>
  <si>
    <t>PARC-1096</t>
  </si>
  <si>
    <t>14/04/2026</t>
  </si>
  <si>
    <t>02/05/2026</t>
  </si>
  <si>
    <t>PARC-1097</t>
  </si>
  <si>
    <t>11/02/2025</t>
  </si>
  <si>
    <t>23/03/2025</t>
  </si>
  <si>
    <t>PARC-1098</t>
  </si>
  <si>
    <t>03/08/2025</t>
  </si>
  <si>
    <t>PARC-1099</t>
  </si>
  <si>
    <t>15/03/2025</t>
  </si>
  <si>
    <t>24/04/2025</t>
  </si>
  <si>
    <t>PARC-1100</t>
  </si>
  <si>
    <t>17/06/2025</t>
  </si>
  <si>
    <t>11/07/2025</t>
  </si>
  <si>
    <t>PARC-1101</t>
  </si>
  <si>
    <t>29/01/2025</t>
  </si>
  <si>
    <t>17/02/2025</t>
  </si>
  <si>
    <t>PARC-1102</t>
  </si>
  <si>
    <t>08/12/2025</t>
  </si>
  <si>
    <t>11/01/2026</t>
  </si>
  <si>
    <t>PARC-1103</t>
  </si>
  <si>
    <t>11/03/2025</t>
  </si>
  <si>
    <t>PARC-1104</t>
  </si>
  <si>
    <t>01/04/2025</t>
  </si>
  <si>
    <t>PARC-1105</t>
  </si>
  <si>
    <t>08/08/2025</t>
  </si>
  <si>
    <t>PARC-1106</t>
  </si>
  <si>
    <t>27/12/2025</t>
  </si>
  <si>
    <t>17/01/2026</t>
  </si>
  <si>
    <t>PARC-1107</t>
  </si>
  <si>
    <t>10/07/2025</t>
  </si>
  <si>
    <t>21/08/2025</t>
  </si>
  <si>
    <t>PARC-1108</t>
  </si>
  <si>
    <t>14/05/2025</t>
  </si>
  <si>
    <t>23/06/2025</t>
  </si>
  <si>
    <t>PARC-1109</t>
  </si>
  <si>
    <t>29/05/2025</t>
  </si>
  <si>
    <t>28/06/2025</t>
  </si>
  <si>
    <t>PARC-1110</t>
  </si>
  <si>
    <t>15/08/2025</t>
  </si>
  <si>
    <t>PARC-1111</t>
  </si>
  <si>
    <t>10/06/2026</t>
  </si>
  <si>
    <t>09/07/2026</t>
  </si>
  <si>
    <t>PARC-1112</t>
  </si>
  <si>
    <t>25/05/2026</t>
  </si>
  <si>
    <t>PARC-1113</t>
  </si>
  <si>
    <t>24/12/2025</t>
  </si>
  <si>
    <t>19/01/2026</t>
  </si>
  <si>
    <t>PARC-1114</t>
  </si>
  <si>
    <t>PARC-1115</t>
  </si>
  <si>
    <t>10/02/2025</t>
  </si>
  <si>
    <t>PARC-1116</t>
  </si>
  <si>
    <t>06/04/2026</t>
  </si>
  <si>
    <t>18/05/2026</t>
  </si>
  <si>
    <t>PARC-1117</t>
  </si>
  <si>
    <t>26/02/2026</t>
  </si>
  <si>
    <t>PARC-1118</t>
  </si>
  <si>
    <t>10/01/2025</t>
  </si>
  <si>
    <t>PARC-1119</t>
  </si>
  <si>
    <t>09/01/2026</t>
  </si>
  <si>
    <t>24/01/2026</t>
  </si>
  <si>
    <t>PARC-1120</t>
  </si>
  <si>
    <t>17/11/2025</t>
  </si>
  <si>
    <t>PARC-1121</t>
  </si>
  <si>
    <t>02/09/2026</t>
  </si>
  <si>
    <t>25/09/2026</t>
  </si>
  <si>
    <t>PARC-1122</t>
  </si>
  <si>
    <t>02/06/2026</t>
  </si>
  <si>
    <t>14/07/2026</t>
  </si>
  <si>
    <t>PARC-1123</t>
  </si>
  <si>
    <t>13/03/2026</t>
  </si>
  <si>
    <t>19/04/2026</t>
  </si>
  <si>
    <t>PARC-1124</t>
  </si>
  <si>
    <t>25/05/2025</t>
  </si>
  <si>
    <t>29/06/2025</t>
  </si>
  <si>
    <t>PARC-1125</t>
  </si>
  <si>
    <t>22/03/2026</t>
  </si>
  <si>
    <t>PARC-1126</t>
  </si>
  <si>
    <t>13/03/2025</t>
  </si>
  <si>
    <t>03/04/2025</t>
  </si>
  <si>
    <t>PARC-1127</t>
  </si>
  <si>
    <t>02/11/2025</t>
  </si>
  <si>
    <t>PARC-1128</t>
  </si>
  <si>
    <t>05/02/2026</t>
  </si>
  <si>
    <t>07/03/2026</t>
  </si>
  <si>
    <t>PARC-1129</t>
  </si>
  <si>
    <t>01/08/2026</t>
  </si>
  <si>
    <t>26/08/2026</t>
  </si>
  <si>
    <t>PARC-1130</t>
  </si>
  <si>
    <t>18/11/2025</t>
  </si>
  <si>
    <t>PARC-1131</t>
  </si>
  <si>
    <t>04/11/2025</t>
  </si>
  <si>
    <t>13/12/2025</t>
  </si>
  <si>
    <t>PARC-1132</t>
  </si>
  <si>
    <t>16/04/2025</t>
  </si>
  <si>
    <t>19/05/2025</t>
  </si>
  <si>
    <t>PARC-1133</t>
  </si>
  <si>
    <t>01/03/2026</t>
  </si>
  <si>
    <t>PARC-1134</t>
  </si>
  <si>
    <t>22/02/2025</t>
  </si>
  <si>
    <t>10/03/2025</t>
  </si>
  <si>
    <t>PARC-1135</t>
  </si>
  <si>
    <t>21/04/2025</t>
  </si>
  <si>
    <t>PARC-1136</t>
  </si>
  <si>
    <t>04/06/2026</t>
  </si>
  <si>
    <t>22/06/2026</t>
  </si>
  <si>
    <t>PARC-1137</t>
  </si>
  <si>
    <t>PARC-1138</t>
  </si>
  <si>
    <t>07/02/2026</t>
  </si>
  <si>
    <t>14/03/2026</t>
  </si>
  <si>
    <t>PARC-1139</t>
  </si>
  <si>
    <t>09/02/2026</t>
  </si>
  <si>
    <t>PARC-1140</t>
  </si>
  <si>
    <t>30/06/2026</t>
  </si>
  <si>
    <t>PARC-1141</t>
  </si>
  <si>
    <t>06/09/2025</t>
  </si>
  <si>
    <t>05/10/2025</t>
  </si>
  <si>
    <t>PARC-1142</t>
  </si>
  <si>
    <t>PARC-1143</t>
  </si>
  <si>
    <t>10/09/2025</t>
  </si>
  <si>
    <t>14/10/2025</t>
  </si>
  <si>
    <t>PARC-1144</t>
  </si>
  <si>
    <t>PARC-1145</t>
  </si>
  <si>
    <t>21/07/2026</t>
  </si>
  <si>
    <t>PARC-1146</t>
  </si>
  <si>
    <t>27/01/2026</t>
  </si>
  <si>
    <t>PARC-1147</t>
  </si>
  <si>
    <t>15/01/2025</t>
  </si>
  <si>
    <t>PARC-1148</t>
  </si>
  <si>
    <t>PARC-1149</t>
  </si>
  <si>
    <t>09/06/2026</t>
  </si>
  <si>
    <t>PARC-1150</t>
  </si>
  <si>
    <t>26/05/2025</t>
  </si>
  <si>
    <t>24/06/2025</t>
  </si>
  <si>
    <t>PARC-1151</t>
  </si>
  <si>
    <t>04/01/2026</t>
  </si>
  <si>
    <t>PARC-1152</t>
  </si>
  <si>
    <t>25/10/2025</t>
  </si>
  <si>
    <t>PARC-1153</t>
  </si>
  <si>
    <t>PARC-1154</t>
  </si>
  <si>
    <t>16/09/2026</t>
  </si>
  <si>
    <t>04/10/2026</t>
  </si>
  <si>
    <t>PARC-1155</t>
  </si>
  <si>
    <t>PARC-1156</t>
  </si>
  <si>
    <t>11/08/2025</t>
  </si>
  <si>
    <t>PARC-1157</t>
  </si>
  <si>
    <t>PARC-1158</t>
  </si>
  <si>
    <t>13/07/2025</t>
  </si>
  <si>
    <t>PARC-1159</t>
  </si>
  <si>
    <t>22/11/2025</t>
  </si>
  <si>
    <t>01/01/2026</t>
  </si>
  <si>
    <t>PARC-1160</t>
  </si>
  <si>
    <t>23/04/2025</t>
  </si>
  <si>
    <t>PARC-1161</t>
  </si>
  <si>
    <t>06/06/2025</t>
  </si>
  <si>
    <t>PARC-1162</t>
  </si>
  <si>
    <t>PARC-1163</t>
  </si>
  <si>
    <t>19/08/2026</t>
  </si>
  <si>
    <t>03/09/2026</t>
  </si>
  <si>
    <t>PARC-1164</t>
  </si>
  <si>
    <t>04/07/2026</t>
  </si>
  <si>
    <t>10/08/2026</t>
  </si>
  <si>
    <t>PARC-1165</t>
  </si>
  <si>
    <t>PARC-1166</t>
  </si>
  <si>
    <t>11/08/2026</t>
  </si>
  <si>
    <t>28/08/2026</t>
  </si>
  <si>
    <t>PARC-1167</t>
  </si>
  <si>
    <t>15/12/2025</t>
  </si>
  <si>
    <t>06/01/2026</t>
  </si>
  <si>
    <t>PARC-1168</t>
  </si>
  <si>
    <t>18/10/2025</t>
  </si>
  <si>
    <t>PARC-1169</t>
  </si>
  <si>
    <t>28/07/2026</t>
  </si>
  <si>
    <t>PARC-1170</t>
  </si>
  <si>
    <t>22/10/2025</t>
  </si>
  <si>
    <t>13/11/2025</t>
  </si>
  <si>
    <t>PARC-1171</t>
  </si>
  <si>
    <t>23/01/2025</t>
  </si>
  <si>
    <t>21/02/2025</t>
  </si>
  <si>
    <t>PARC-1172</t>
  </si>
  <si>
    <t>08/09/2026</t>
  </si>
  <si>
    <t>30/09/2026</t>
  </si>
  <si>
    <t>PARC-1173</t>
  </si>
  <si>
    <t>26/01/2026</t>
  </si>
  <si>
    <t>28/02/2026</t>
  </si>
  <si>
    <t>PARC-1174</t>
  </si>
  <si>
    <t>16/10/2025</t>
  </si>
  <si>
    <t>19/11/2025</t>
  </si>
  <si>
    <t>PARC-1175</t>
  </si>
  <si>
    <t>17/03/2026</t>
  </si>
  <si>
    <t>01/04/2026</t>
  </si>
  <si>
    <t>PARC-1176</t>
  </si>
  <si>
    <t>15/07/2025</t>
  </si>
  <si>
    <t>20/08/2025</t>
  </si>
  <si>
    <t>PARC-1177</t>
  </si>
  <si>
    <t>PARC-1178</t>
  </si>
  <si>
    <t>27/02/2025</t>
  </si>
  <si>
    <t>PARC-1179</t>
  </si>
  <si>
    <t>10/05/2025</t>
  </si>
  <si>
    <t>20/06/2025</t>
  </si>
  <si>
    <t>PARC-1180</t>
  </si>
  <si>
    <t>10/10/2025</t>
  </si>
  <si>
    <t>29/10/2025</t>
  </si>
  <si>
    <t>PARC-1181</t>
  </si>
  <si>
    <t>05/06/2025</t>
  </si>
  <si>
    <t>PARC-1182</t>
  </si>
  <si>
    <t>06/08/2025</t>
  </si>
  <si>
    <t>02/09/2025</t>
  </si>
  <si>
    <t>PARC-1183</t>
  </si>
  <si>
    <t>20/10/2026</t>
  </si>
  <si>
    <t>PARC-1184</t>
  </si>
  <si>
    <t>13/05/2025</t>
  </si>
  <si>
    <t>PARC-1185</t>
  </si>
  <si>
    <t>13/01/2026</t>
  </si>
  <si>
    <t>PARC-1186</t>
  </si>
  <si>
    <t>PARC-1187</t>
  </si>
  <si>
    <t>01/07/2025</t>
  </si>
  <si>
    <t>07/08/2025</t>
  </si>
  <si>
    <t>PARC-1188</t>
  </si>
  <si>
    <t>30/03/2026</t>
  </si>
  <si>
    <t>PARC-1189</t>
  </si>
  <si>
    <t>29/07/2026</t>
  </si>
  <si>
    <t>PARC-1190</t>
  </si>
  <si>
    <t>29/07/2025</t>
  </si>
  <si>
    <t>08/09/2025</t>
  </si>
  <si>
    <t>PARC-1191</t>
  </si>
  <si>
    <t>PARC-1192</t>
  </si>
  <si>
    <t>10/06/2025</t>
  </si>
  <si>
    <t>PARC-1193</t>
  </si>
  <si>
    <t>PARC-1194</t>
  </si>
  <si>
    <t>22/09/2026</t>
  </si>
  <si>
    <t>28/10/2026</t>
  </si>
  <si>
    <t>PARC-1195</t>
  </si>
  <si>
    <t>21/05/2025</t>
  </si>
  <si>
    <t>04/07/2025</t>
  </si>
  <si>
    <t>PARC-1196</t>
  </si>
  <si>
    <t>17/03/2025</t>
  </si>
  <si>
    <t>PARC-1197</t>
  </si>
  <si>
    <t>02/04/2026</t>
  </si>
  <si>
    <t>PARC-1198</t>
  </si>
  <si>
    <t>18/08/2025</t>
  </si>
  <si>
    <t>PARC-1199</t>
  </si>
  <si>
    <t>03/11/2025</t>
  </si>
  <si>
    <t>PARC-1200</t>
  </si>
  <si>
    <t>11/06/2025</t>
  </si>
  <si>
    <t>23/07/2025</t>
  </si>
  <si>
    <t>PARC-1201</t>
  </si>
  <si>
    <t>10/03/2026</t>
  </si>
  <si>
    <t>PARC-1202</t>
  </si>
  <si>
    <t>19/03/2026</t>
  </si>
  <si>
    <t>01/05/2026</t>
  </si>
  <si>
    <t>PARC-1203</t>
  </si>
  <si>
    <t>07/03/2025</t>
  </si>
  <si>
    <t>PARC-1204</t>
  </si>
  <si>
    <t>29/03/2025</t>
  </si>
  <si>
    <t>PARC-1205</t>
  </si>
  <si>
    <t>03/06/2026</t>
  </si>
  <si>
    <t>PARC-1206</t>
  </si>
  <si>
    <t>07/01/2025</t>
  </si>
  <si>
    <t>31/01/2025</t>
  </si>
  <si>
    <t>PARC-1207</t>
  </si>
  <si>
    <t>16/01/2026</t>
  </si>
  <si>
    <t>18/02/2026</t>
  </si>
  <si>
    <t>PARC-1208</t>
  </si>
  <si>
    <t>07/06/2026</t>
  </si>
  <si>
    <t>PARC-1209</t>
  </si>
  <si>
    <t>16/06/2026</t>
  </si>
  <si>
    <t>05/07/2026</t>
  </si>
  <si>
    <t>PARC-1210</t>
  </si>
  <si>
    <t>20/03/2025</t>
  </si>
  <si>
    <t>PARC-1211</t>
  </si>
  <si>
    <t>16/08/2026</t>
  </si>
  <si>
    <t>09/09/2026</t>
  </si>
  <si>
    <t>PARC-1212</t>
  </si>
  <si>
    <t>PARC-1213</t>
  </si>
  <si>
    <t>PARC-1214</t>
  </si>
  <si>
    <t>18/03/2026</t>
  </si>
  <si>
    <t>30/04/2026</t>
  </si>
  <si>
    <t>PARC-1215</t>
  </si>
  <si>
    <t>30/06/2025</t>
  </si>
  <si>
    <t>PARC-1216</t>
  </si>
  <si>
    <t>02/06/2025</t>
  </si>
  <si>
    <t>22/06/2025</t>
  </si>
  <si>
    <t>PARC-1217</t>
  </si>
  <si>
    <t>27/01/2025</t>
  </si>
  <si>
    <t>PARC-1218</t>
  </si>
  <si>
    <t>31/03/2026</t>
  </si>
  <si>
    <t>PARC-1219</t>
  </si>
  <si>
    <t>26/09/2026</t>
  </si>
  <si>
    <t>24/10/2026</t>
  </si>
  <si>
    <t>PARC-1220</t>
  </si>
  <si>
    <t>19/10/2025</t>
  </si>
  <si>
    <t>21/11/2025</t>
  </si>
  <si>
    <t>PARC-1221</t>
  </si>
  <si>
    <t>27/05/2026</t>
  </si>
  <si>
    <t>PARC-1222</t>
  </si>
  <si>
    <t>08/04/2025</t>
  </si>
  <si>
    <t>15/05/2025</t>
  </si>
  <si>
    <t>PARC-1223</t>
  </si>
  <si>
    <t>25/11/2025</t>
  </si>
  <si>
    <t>PARC-1224</t>
  </si>
  <si>
    <t>06/05/2026</t>
  </si>
  <si>
    <t>06/06/2026</t>
  </si>
  <si>
    <t>PARC-1225</t>
  </si>
  <si>
    <t>03/06/2025</t>
  </si>
  <si>
    <t>19/06/2025</t>
  </si>
  <si>
    <t>PARC-1226</t>
  </si>
  <si>
    <t>05/08/2025</t>
  </si>
  <si>
    <t>PARC-1227</t>
  </si>
  <si>
    <t>11/05/2025</t>
  </si>
  <si>
    <t>PARC-1228</t>
  </si>
  <si>
    <t>08/06/2026</t>
  </si>
  <si>
    <t>11/07/2026</t>
  </si>
  <si>
    <t>PARC-1229</t>
  </si>
  <si>
    <t>17/01/2025</t>
  </si>
  <si>
    <t>PARC-1230</t>
  </si>
  <si>
    <t>PARC-1231</t>
  </si>
  <si>
    <t>PARC-1232</t>
  </si>
  <si>
    <t>24/10/2025</t>
  </si>
  <si>
    <t>PARC-1233</t>
  </si>
  <si>
    <t>15/10/2025</t>
  </si>
  <si>
    <t>PARC-1234</t>
  </si>
  <si>
    <t>27/03/2025</t>
  </si>
  <si>
    <t>06/05/2025</t>
  </si>
  <si>
    <t>PARC-1235</t>
  </si>
  <si>
    <t>13/05/2026</t>
  </si>
  <si>
    <t>23/06/2026</t>
  </si>
  <si>
    <t>PARC-1236</t>
  </si>
  <si>
    <t>06/02/2026</t>
  </si>
  <si>
    <t>PARC-1237</t>
  </si>
  <si>
    <t>12/09/2026</t>
  </si>
  <si>
    <t>PARC-1238</t>
  </si>
  <si>
    <t>02/07/2025</t>
  </si>
  <si>
    <t>PARC-1239</t>
  </si>
  <si>
    <t>20/01/2026</t>
  </si>
  <si>
    <t>PARC-1240</t>
  </si>
  <si>
    <t>28/03/2026</t>
  </si>
  <si>
    <t>PARC-1241</t>
  </si>
  <si>
    <t>PARC-1242</t>
  </si>
  <si>
    <t>08/02/2025</t>
  </si>
  <si>
    <t>08/03/2025</t>
  </si>
  <si>
    <t>PARC-1243</t>
  </si>
  <si>
    <t>PARC-1244</t>
  </si>
  <si>
    <t>23/09/2025</t>
  </si>
  <si>
    <t>06/11/2025</t>
  </si>
  <si>
    <t>PARC-1245</t>
  </si>
  <si>
    <t>03/01/2025</t>
  </si>
  <si>
    <t>30/01/2025</t>
  </si>
  <si>
    <t>PARC-1246</t>
  </si>
  <si>
    <t>PARC-1247</t>
  </si>
  <si>
    <t>03/02/2026</t>
  </si>
  <si>
    <t>06/03/2026</t>
  </si>
  <si>
    <t>PARC-1248</t>
  </si>
  <si>
    <t>02/03/2025</t>
  </si>
  <si>
    <t>21/03/2025</t>
  </si>
  <si>
    <t>PARC-1249</t>
  </si>
  <si>
    <t>06/12/2025</t>
  </si>
  <si>
    <t>PARC-1250</t>
  </si>
  <si>
    <t>18/07/2026</t>
  </si>
  <si>
    <t>05/08/2026</t>
  </si>
  <si>
    <t>PARC-1251</t>
  </si>
  <si>
    <t>27/09/2025</t>
  </si>
  <si>
    <t>PARC-1252</t>
  </si>
  <si>
    <t>PARC-1253</t>
  </si>
  <si>
    <t>PARC-1254</t>
  </si>
  <si>
    <t>23/02/2026</t>
  </si>
  <si>
    <t>27/03/2026</t>
  </si>
  <si>
    <t>PARC-1255</t>
  </si>
  <si>
    <t>30/04/2025</t>
  </si>
  <si>
    <t>PARC-1256</t>
  </si>
  <si>
    <t>27/09/2026</t>
  </si>
  <si>
    <t>PARC-1257</t>
  </si>
  <si>
    <t>PARC-1258</t>
  </si>
  <si>
    <t>21/06/2026</t>
  </si>
  <si>
    <t>PARC-1259</t>
  </si>
  <si>
    <t>07/02/2025</t>
  </si>
  <si>
    <t>01/03/2025</t>
  </si>
  <si>
    <t>PARC-1260</t>
  </si>
  <si>
    <t>PARC-1261</t>
  </si>
  <si>
    <t>16/05/2025</t>
  </si>
  <si>
    <t>PARC-1262</t>
  </si>
  <si>
    <t>PARC-1263</t>
  </si>
  <si>
    <t>05/11/2025</t>
  </si>
  <si>
    <t>PARC-1264</t>
  </si>
  <si>
    <t>25/07/2026</t>
  </si>
  <si>
    <t>PARC-1265</t>
  </si>
  <si>
    <t>PARC-1266</t>
  </si>
  <si>
    <t>20/08/2026</t>
  </si>
  <si>
    <t>PARC-1267</t>
  </si>
  <si>
    <t>PARC-1268</t>
  </si>
  <si>
    <t>24/09/2026</t>
  </si>
  <si>
    <t>PARC-1269</t>
  </si>
  <si>
    <t>PARC-1270</t>
  </si>
  <si>
    <t>31/12/2025</t>
  </si>
  <si>
    <t>PARC-1271</t>
  </si>
  <si>
    <t>PARC-1272</t>
  </si>
  <si>
    <t>23/10/2025</t>
  </si>
  <si>
    <t>PARC-1273</t>
  </si>
  <si>
    <t>PARC-1274</t>
  </si>
  <si>
    <t>22/01/2025</t>
  </si>
  <si>
    <t>03/03/2025</t>
  </si>
  <si>
    <t>PARC-1275</t>
  </si>
  <si>
    <t>07/11/2025</t>
  </si>
  <si>
    <t>PARC-1276</t>
  </si>
  <si>
    <t>PARC-1277</t>
  </si>
  <si>
    <t>04/04/2026</t>
  </si>
  <si>
    <t>PARC-1278</t>
  </si>
  <si>
    <t>PARC-1279</t>
  </si>
  <si>
    <t>PARC-1280</t>
  </si>
  <si>
    <t>PARC-1281</t>
  </si>
  <si>
    <t>09/10/2026</t>
  </si>
  <si>
    <t>PARC-1282</t>
  </si>
  <si>
    <t>PARC-1283</t>
  </si>
  <si>
    <t>24/07/2025</t>
  </si>
  <si>
    <t>PARC-1284</t>
  </si>
  <si>
    <t>PARC-1285</t>
  </si>
  <si>
    <t>02/10/2026</t>
  </si>
  <si>
    <t>PARC-1286</t>
  </si>
  <si>
    <t>18/07/2025</t>
  </si>
  <si>
    <t>04/08/2025</t>
  </si>
  <si>
    <t>PARC-1287</t>
  </si>
  <si>
    <t>PARC-1288</t>
  </si>
  <si>
    <t>PARC-1289</t>
  </si>
  <si>
    <t>16/05/2026</t>
  </si>
  <si>
    <t>PARC-1290</t>
  </si>
  <si>
    <t>17/04/2025</t>
  </si>
  <si>
    <t>PARC-1291</t>
  </si>
  <si>
    <t>30/08/2026</t>
  </si>
  <si>
    <t>PARC-1292</t>
  </si>
  <si>
    <t>12/04/2025</t>
  </si>
  <si>
    <t>05/05/2025</t>
  </si>
  <si>
    <t>PARC-1293</t>
  </si>
  <si>
    <t>03/03/2026</t>
  </si>
  <si>
    <t>PARC-1294</t>
  </si>
  <si>
    <t>PARC-1295</t>
  </si>
  <si>
    <t>02/01/2025</t>
  </si>
  <si>
    <t>PARC-1296</t>
  </si>
  <si>
    <t>PARC-1297</t>
  </si>
  <si>
    <t>PARC-1298</t>
  </si>
  <si>
    <t>30/11/2025</t>
  </si>
  <si>
    <t>PARC-1299</t>
  </si>
  <si>
    <t>03/09/2025</t>
  </si>
  <si>
    <t>PARC-1300</t>
  </si>
  <si>
    <t>14/11/2025</t>
  </si>
  <si>
    <t>18/12/2025</t>
  </si>
  <si>
    <t>Data atual</t>
  </si>
  <si>
    <t>Dias vencidos</t>
  </si>
  <si>
    <t>Meses vencidos</t>
  </si>
  <si>
    <t>Valor Multa</t>
  </si>
  <si>
    <t>Valor com juros</t>
  </si>
  <si>
    <t>Mora Diária</t>
  </si>
  <si>
    <t>Valor Final</t>
  </si>
  <si>
    <t>DIA</t>
  </si>
  <si>
    <t>MÊS</t>
  </si>
  <si>
    <t>ANO</t>
  </si>
  <si>
    <t>HORA</t>
  </si>
  <si>
    <t>MINUTO</t>
  </si>
  <si>
    <t>SEGUNDO</t>
  </si>
  <si>
    <t>Protesto</t>
  </si>
  <si>
    <t>É significante?</t>
  </si>
  <si>
    <t>ENCAMINHAR JURÍDICO</t>
  </si>
  <si>
    <t>RECUPERAÇÃO DE CRÉDITO</t>
  </si>
  <si>
    <t>Rótulos de Linha</t>
  </si>
  <si>
    <t>NÃO</t>
  </si>
  <si>
    <t>SIM</t>
  </si>
  <si>
    <t>Total Geral</t>
  </si>
  <si>
    <t>Soma de Valor Final</t>
  </si>
  <si>
    <t>competência</t>
  </si>
  <si>
    <t>Rótulos de Coluna</t>
  </si>
  <si>
    <t>01/2025</t>
  </si>
  <si>
    <t>01/2026</t>
  </si>
  <si>
    <t>02/2025</t>
  </si>
  <si>
    <t>02/2026</t>
  </si>
  <si>
    <t>03/2025</t>
  </si>
  <si>
    <t>03/2026</t>
  </si>
  <si>
    <t>04/2025</t>
  </si>
  <si>
    <t>04/2026</t>
  </si>
  <si>
    <t>05/2025</t>
  </si>
  <si>
    <t>05/2026</t>
  </si>
  <si>
    <t>06/2025</t>
  </si>
  <si>
    <t>06/2026</t>
  </si>
  <si>
    <t>07/2025</t>
  </si>
  <si>
    <t>07/2026</t>
  </si>
  <si>
    <t>08/2025</t>
  </si>
  <si>
    <t>08/2026</t>
  </si>
  <si>
    <t>09/2025</t>
  </si>
  <si>
    <t>09/2026</t>
  </si>
  <si>
    <t>10/2025</t>
  </si>
  <si>
    <t>10/2026</t>
  </si>
  <si>
    <t>11/2025</t>
  </si>
  <si>
    <t>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</si>
</sst>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\R\$\ #,##0.00"/>
    <numFmt numFmtId="165" formatCode="0.00&quot;%&quot;"/>
    <numFmt numFmtId="166" formatCode="0.0000&quot;%&quot;"/>
    <numFmt numFmtId="171" formatCode="mm/yyyy"/>
  </numFmts>
  <fonts count="6">
    <font>
      <sz val="11"/>
      <color theme="1"/>
      <name val="Calibri"/>
      <family val="2"/>
      <scheme val="minor"/>
    </font>
    <font>
      <b/>
      <sz val="16"/>
      <color rgb="FF2C3E50"/>
      <name val="Calibri"/>
    </font>
    <font>
      <b/>
      <sz val="11"/>
      <color rgb="FFFFFFFF"/>
      <name val="Calibri"/>
    </font>
    <font>
      <sz val="11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rgb="FFF8F9F9"/>
        <bgColor rgb="FFF8F9F9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6" fontId="3" fillId="3" borderId="1" xfId="0" applyNumberFormat="1" applyFont="1" applyFill="1" applyBorder="1" applyAlignment="1">
      <alignment horizontal="right"/>
    </xf>
    <xf numFmtId="14" fontId="3" fillId="0" borderId="1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horizontal="right"/>
    </xf>
    <xf numFmtId="2" fontId="3" fillId="0" borderId="0" xfId="0" applyNumberFormat="1" applyFont="1" applyBorder="1" applyAlignment="1">
      <alignment horizontal="right"/>
    </xf>
    <xf numFmtId="44" fontId="0" fillId="0" borderId="0" xfId="1" applyFont="1"/>
    <xf numFmtId="165" fontId="0" fillId="0" borderId="0" xfId="2" applyNumberFormat="1" applyFont="1"/>
    <xf numFmtId="165" fontId="2" fillId="2" borderId="0" xfId="2" applyNumberFormat="1" applyFont="1" applyFill="1" applyAlignment="1">
      <alignment horizontal="center" vertical="center"/>
    </xf>
    <xf numFmtId="165" fontId="3" fillId="0" borderId="1" xfId="2" applyNumberFormat="1" applyFont="1" applyBorder="1" applyAlignment="1">
      <alignment horizontal="right"/>
    </xf>
    <xf numFmtId="165" fontId="3" fillId="3" borderId="1" xfId="2" applyNumberFormat="1" applyFont="1" applyFill="1" applyBorder="1" applyAlignment="1">
      <alignment horizontal="right"/>
    </xf>
    <xf numFmtId="44" fontId="5" fillId="2" borderId="0" xfId="1" applyFont="1" applyFill="1" applyAlignment="1">
      <alignment horizontal="center" vertical="center"/>
    </xf>
    <xf numFmtId="44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1" fontId="0" fillId="0" borderId="0" xfId="0" applyNumberFormat="1"/>
    <xf numFmtId="171" fontId="2" fillId="2" borderId="0" xfId="0" applyNumberFormat="1" applyFont="1" applyFill="1" applyAlignment="1">
      <alignment horizontal="center" vertical="center"/>
    </xf>
    <xf numFmtId="171" fontId="3" fillId="0" borderId="1" xfId="0" applyNumberFormat="1" applyFont="1" applyBorder="1" applyAlignment="1">
      <alignment horizontal="center"/>
    </xf>
    <xf numFmtId="171" fontId="3" fillId="3" borderId="1" xfId="0" applyNumberFormat="1" applyFont="1" applyFill="1" applyBorder="1" applyAlignment="1">
      <alignment horizontal="center"/>
    </xf>
    <xf numFmtId="171" fontId="5" fillId="2" borderId="0" xfId="0" applyNumberFormat="1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" refreshedDate="46322.480470138886" backgroundQuery="1" createdVersion="8" refreshedVersion="8" minRefreshableVersion="3" recordCount="0" supportSubquery="1" supportAdvancedDrill="1" xr:uid="{CC6E0156-1449-41C0-82DD-791FDDC74B69}">
  <cacheSource type="external" connectionId="1"/>
  <cacheFields count="3">
    <cacheField name="[Intervalo].[Protesto].[Protesto]" caption="Protesto" numFmtId="0" hierarchy="15" level="1">
      <sharedItems count="2">
        <s v="NÃO"/>
        <s v="SIM"/>
      </sharedItems>
    </cacheField>
    <cacheField name="[Intervalo].[competência].[competência]" caption="competência" numFmtId="0" hierarchy="3" level="1">
      <sharedItems count="22">
        <s v="01/2025"/>
        <s v="01/2026"/>
        <s v="02/2025"/>
        <s v="02/2026"/>
        <s v="03/2025"/>
        <s v="03/2026"/>
        <s v="04/2025"/>
        <s v="04/2026"/>
        <s v="05/2025"/>
        <s v="05/2026"/>
        <s v="06/2025"/>
        <s v="06/2026"/>
        <s v="07/2025"/>
        <s v="07/2026"/>
        <s v="08/2025"/>
        <s v="08/2026"/>
        <s v="09/2025"/>
        <s v="09/2026"/>
        <s v="10/2025"/>
        <s v="10/2026"/>
        <s v="11/2025"/>
        <s v="12/2025"/>
      </sharedItems>
    </cacheField>
    <cacheField name="[Measures].[Soma de Valor Final]" caption="Soma de Valor Final" numFmtId="0" hierarchy="21" level="32767"/>
  </cacheFields>
  <cacheHierarchies count="22">
    <cacheHierarchy uniqueName="[Intervalo].[Código]" caption="Código" attribute="1" defaultMemberUniqueName="[Intervalo].[Código].[All]" allUniqueName="[Intervalo].[Código].[All]" dimensionUniqueName="[Intervalo]" displayFolder="" count="0" memberValueDatatype="130" unbalanced="0"/>
    <cacheHierarchy uniqueName="[Intervalo].[Data Emissão]" caption="Data Emissão" attribute="1" defaultMemberUniqueName="[Intervalo].[Data Emissão].[All]" allUniqueName="[Intervalo].[Data Emissão].[All]" dimensionUniqueName="[Intervalo]" displayFolder="" count="0" memberValueDatatype="130" unbalanced="0"/>
    <cacheHierarchy uniqueName="[Intervalo].[Data de Vencimento]" caption="Data de Vencimento" attribute="1" defaultMemberUniqueName="[Intervalo].[Data de Vencimento].[All]" allUniqueName="[Intervalo].[Data de Vencimento].[All]" dimensionUniqueName="[Intervalo]" displayFolder="" count="0" memberValueDatatype="130" unbalanced="0"/>
    <cacheHierarchy uniqueName="[Intervalo].[competência]" caption="competência" attribute="1" defaultMemberUniqueName="[Intervalo].[competência].[All]" allUniqueName="[Intervalo].[competência].[All]" dimensionUniqueName="[Intervalo]" displayFolder="" count="2" memberValueDatatype="130" unbalanced="0">
      <fieldsUsage count="2">
        <fieldUsage x="-1"/>
        <fieldUsage x="1"/>
      </fieldsUsage>
    </cacheHierarchy>
    <cacheHierarchy uniqueName="[Intervalo].[Valor Original]" caption="Valor Original" attribute="1" defaultMemberUniqueName="[Intervalo].[Valor Original].[All]" allUniqueName="[Intervalo].[Valor Original].[All]" dimensionUniqueName="[Intervalo]" displayFolder="" count="0" memberValueDatatype="5" unbalanced="0"/>
    <cacheHierarchy uniqueName="[Intervalo].[Taxa de Juros (% a.m.)]" caption="Taxa de Juros (% a.m.)" attribute="1" defaultMemberUniqueName="[Intervalo].[Taxa de Juros (% a.m.)].[All]" allUniqueName="[Intervalo].[Taxa de Juros (% a.m.)].[All]" dimensionUniqueName="[Intervalo]" displayFolder="" count="0" memberValueDatatype="5" unbalanced="0"/>
    <cacheHierarchy uniqueName="[Intervalo].[Multa (%)]" caption="Multa (%)" attribute="1" defaultMemberUniqueName="[Intervalo].[Multa (%)].[All]" allUniqueName="[Intervalo].[Multa (%)].[All]" dimensionUniqueName="[Intervalo]" displayFolder="" count="0" memberValueDatatype="20" unbalanced="0"/>
    <cacheHierarchy uniqueName="[Intervalo].[Mora Diária (%)]" caption="Mora Diária (%)" attribute="1" defaultMemberUniqueName="[Intervalo].[Mora Diária (%)].[All]" allUniqueName="[Intervalo].[Mora Diária (%)].[All]" dimensionUniqueName="[Intervalo]" displayFolder="" count="0" memberValueDatatype="5" unbalanced="0"/>
    <cacheHierarchy uniqueName="[Intervalo].[Data atual]" caption="Data atual" attribute="1" time="1" defaultMemberUniqueName="[Intervalo].[Data atual].[All]" allUniqueName="[Intervalo].[Data atual].[All]" dimensionUniqueName="[Intervalo]" displayFolder="" count="0" memberValueDatatype="7" unbalanced="0"/>
    <cacheHierarchy uniqueName="[Intervalo].[Dias vencidos]" caption="Dias vencidos" attribute="1" defaultMemberUniqueName="[Intervalo].[Dias vencidos].[All]" allUniqueName="[Intervalo].[Dias vencidos].[All]" dimensionUniqueName="[Intervalo]" displayFolder="" count="0" memberValueDatatype="20" unbalanced="0"/>
    <cacheHierarchy uniqueName="[Intervalo].[Meses vencidos]" caption="Meses vencidos" attribute="1" defaultMemberUniqueName="[Intervalo].[Meses vencidos].[All]" allUniqueName="[Intervalo].[Meses vencidos].[All]" dimensionUniqueName="[Intervalo]" displayFolder="" count="0" memberValueDatatype="5" unbalanced="0"/>
    <cacheHierarchy uniqueName="[Intervalo].[Valor com juros]" caption="Valor com juros" attribute="1" defaultMemberUniqueName="[Intervalo].[Valor com juros].[All]" allUniqueName="[Intervalo].[Valor com juros].[All]" dimensionUniqueName="[Intervalo]" displayFolder="" count="0" memberValueDatatype="5" unbalanced="0"/>
    <cacheHierarchy uniqueName="[Intervalo].[Valor Multa]" caption="Valor Multa" attribute="1" defaultMemberUniqueName="[Intervalo].[Valor Multa].[All]" allUniqueName="[Intervalo].[Valor Multa].[All]" dimensionUniqueName="[Intervalo]" displayFolder="" count="0" memberValueDatatype="5" unbalanced="0"/>
    <cacheHierarchy uniqueName="[Intervalo].[Mora Diária]" caption="Mora Diária" attribute="1" defaultMemberUniqueName="[Intervalo].[Mora Diária].[All]" allUniqueName="[Intervalo].[Mora Diária].[All]" dimensionUniqueName="[Intervalo]" displayFolder="" count="0" memberValueDatatype="5" unbalanced="0"/>
    <cacheHierarchy uniqueName="[Intervalo].[Valor Final]" caption="Valor Final" attribute="1" defaultMemberUniqueName="[Intervalo].[Valor Final].[All]" allUniqueName="[Intervalo].[Valor Final].[All]" dimensionUniqueName="[Intervalo]" displayFolder="" count="0" memberValueDatatype="5" unbalanced="0"/>
    <cacheHierarchy uniqueName="[Intervalo].[Protesto]" caption="Protesto" attribute="1" defaultMemberUniqueName="[Intervalo].[Protesto].[All]" allUniqueName="[Intervalo].[Protesto].[All]" dimensionUniqueName="[Intervalo]" displayFolder="" count="2" memberValueDatatype="130" unbalanced="0">
      <fieldsUsage count="2">
        <fieldUsage x="-1"/>
        <fieldUsage x="0"/>
      </fieldsUsage>
    </cacheHierarchy>
    <cacheHierarchy uniqueName="[Intervalo].[É significante?]" caption="É significante?" attribute="1" defaultMemberUniqueName="[Intervalo].[É significante?].[All]" allUniqueName="[Intervalo].[É significante?].[All]" dimensionUniqueName="[Intervalo]" displayFolder="" count="0" memberValueDatatype="11" unbalanced="0"/>
    <cacheHierarchy uniqueName="[Intervalo].[ENCAMINHAR JURÍDICO]" caption="ENCAMINHAR JURÍDICO" attribute="1" defaultMemberUniqueName="[Intervalo].[ENCAMINHAR JURÍDICO].[All]" allUniqueName="[Intervalo].[ENCAMINHAR JURÍDICO].[All]" dimensionUniqueName="[Intervalo]" displayFolder="" count="0" memberValueDatatype="130" unbalanced="0"/>
    <cacheHierarchy uniqueName="[Intervalo].[RECUPERAÇÃO DE CRÉDITO]" caption="RECUPERAÇÃO DE CRÉDITO" attribute="1" defaultMemberUniqueName="[Intervalo].[RECUPERAÇÃO DE CRÉDITO].[All]" allUniqueName="[Intervalo].[RECUPERAÇÃO DE CRÉDITO].[All]" dimensionUniqueName="[Intervalo]" displayFolder="" count="0" memberValueDatatype="130" unbalanced="0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  <cacheHierarchy uniqueName="[Measures].[Soma de Valor Final]" caption="Soma de Valor Final" measure="1" displayFolder="" measureGroup="Interval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name="Intervalo" uniqueName="[Intervalo]" caption="Intervalo"/>
    <dimension measure="1" name="Measures" uniqueName="[Measures]" caption="Measures"/>
  </dimensions>
  <measureGroups count="1">
    <measureGroup name="Intervalo" caption="Interval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A7D7AB-6699-439D-9F6E-65AD28146493}" name="Tabela dinâmica3" cacheId="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X7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colItems>
  <dataFields count="1">
    <dataField name="Soma de Valor Final" fld="2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arcelas Vencidas!$A$3:$S$303"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5A1C1-BA26-4F02-A714-C26F267752A3}">
  <dimension ref="A3:X7"/>
  <sheetViews>
    <sheetView tabSelected="1" zoomScale="70" zoomScaleNormal="70" workbookViewId="0">
      <selection activeCell="L5" sqref="L5"/>
    </sheetView>
  </sheetViews>
  <sheetFormatPr defaultRowHeight="15"/>
  <cols>
    <col min="1" max="1" width="18.7109375" bestFit="1" customWidth="1"/>
    <col min="2" max="2" width="19.5703125" bestFit="1" customWidth="1"/>
    <col min="3" max="7" width="12" bestFit="1" customWidth="1"/>
    <col min="8" max="9" width="11" bestFit="1" customWidth="1"/>
    <col min="10" max="18" width="12" bestFit="1" customWidth="1"/>
    <col min="19" max="19" width="11" bestFit="1" customWidth="1"/>
    <col min="20" max="21" width="12" bestFit="1" customWidth="1"/>
    <col min="22" max="22" width="11" bestFit="1" customWidth="1"/>
    <col min="23" max="24" width="12" bestFit="1" customWidth="1"/>
  </cols>
  <sheetData>
    <row r="3" spans="1:24">
      <c r="A3" s="23" t="s">
        <v>738</v>
      </c>
      <c r="B3" s="23" t="s">
        <v>740</v>
      </c>
    </row>
    <row r="4" spans="1:24">
      <c r="A4" s="23" t="s">
        <v>734</v>
      </c>
      <c r="B4" t="s">
        <v>741</v>
      </c>
      <c r="C4" t="s">
        <v>742</v>
      </c>
      <c r="D4" t="s">
        <v>743</v>
      </c>
      <c r="E4" t="s">
        <v>744</v>
      </c>
      <c r="F4" t="s">
        <v>745</v>
      </c>
      <c r="G4" t="s">
        <v>746</v>
      </c>
      <c r="H4" t="s">
        <v>747</v>
      </c>
      <c r="I4" t="s">
        <v>748</v>
      </c>
      <c r="J4" t="s">
        <v>749</v>
      </c>
      <c r="K4" t="s">
        <v>750</v>
      </c>
      <c r="L4" t="s">
        <v>751</v>
      </c>
      <c r="M4" t="s">
        <v>752</v>
      </c>
      <c r="N4" t="s">
        <v>753</v>
      </c>
      <c r="O4" t="s">
        <v>754</v>
      </c>
      <c r="P4" t="s">
        <v>755</v>
      </c>
      <c r="Q4" t="s">
        <v>756</v>
      </c>
      <c r="R4" t="s">
        <v>757</v>
      </c>
      <c r="S4" t="s">
        <v>758</v>
      </c>
      <c r="T4" t="s">
        <v>759</v>
      </c>
      <c r="U4" t="s">
        <v>760</v>
      </c>
      <c r="V4" t="s">
        <v>761</v>
      </c>
      <c r="W4" t="s">
        <v>762</v>
      </c>
      <c r="X4" t="s">
        <v>737</v>
      </c>
    </row>
    <row r="5" spans="1:24">
      <c r="A5" s="24" t="s">
        <v>735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>
        <v>2898.7627698377505</v>
      </c>
      <c r="P5" s="25"/>
      <c r="Q5" s="25">
        <v>26500.701587314994</v>
      </c>
      <c r="R5" s="25"/>
      <c r="S5" s="25">
        <v>30927.518500010578</v>
      </c>
      <c r="T5" s="25"/>
      <c r="U5" s="25">
        <v>28757.677543168596</v>
      </c>
      <c r="V5" s="25"/>
      <c r="W5" s="25"/>
      <c r="X5" s="25">
        <v>89084.660400331893</v>
      </c>
    </row>
    <row r="6" spans="1:24">
      <c r="A6" s="24" t="s">
        <v>736</v>
      </c>
      <c r="B6" s="25">
        <v>6737.4997574785129</v>
      </c>
      <c r="C6" s="25">
        <v>46200.946162092689</v>
      </c>
      <c r="D6" s="25">
        <v>55450.808825469474</v>
      </c>
      <c r="E6" s="25">
        <v>28156.32528793416</v>
      </c>
      <c r="F6" s="25">
        <v>48291.189315847543</v>
      </c>
      <c r="G6" s="25">
        <v>60474.924138142553</v>
      </c>
      <c r="H6" s="25">
        <v>34597.238795150741</v>
      </c>
      <c r="I6" s="25">
        <v>26993.082399885312</v>
      </c>
      <c r="J6" s="25">
        <v>79946.631121153361</v>
      </c>
      <c r="K6" s="25">
        <v>56901.630567378263</v>
      </c>
      <c r="L6" s="25">
        <v>69035.657989545885</v>
      </c>
      <c r="M6" s="25">
        <v>51205.132739102381</v>
      </c>
      <c r="N6" s="25">
        <v>57533.48948059653</v>
      </c>
      <c r="O6" s="25">
        <v>32577.503699066034</v>
      </c>
      <c r="P6" s="25">
        <v>59745.673306698314</v>
      </c>
      <c r="Q6" s="25"/>
      <c r="R6" s="25">
        <v>45934.119681655488</v>
      </c>
      <c r="S6" s="25"/>
      <c r="T6" s="25">
        <v>53988.190075008162</v>
      </c>
      <c r="U6" s="25"/>
      <c r="V6" s="25">
        <v>71494.601795948707</v>
      </c>
      <c r="W6" s="25">
        <v>26503.545116443966</v>
      </c>
      <c r="X6" s="25">
        <v>911768.19025459804</v>
      </c>
    </row>
    <row r="7" spans="1:24">
      <c r="A7" s="24" t="s">
        <v>737</v>
      </c>
      <c r="B7" s="25">
        <v>6737.4997574785129</v>
      </c>
      <c r="C7" s="25">
        <v>46200.946162092689</v>
      </c>
      <c r="D7" s="25">
        <v>55450.808825469474</v>
      </c>
      <c r="E7" s="25">
        <v>28156.32528793416</v>
      </c>
      <c r="F7" s="25">
        <v>48291.189315847543</v>
      </c>
      <c r="G7" s="25">
        <v>60474.924138142553</v>
      </c>
      <c r="H7" s="25">
        <v>34597.238795150741</v>
      </c>
      <c r="I7" s="25">
        <v>26993.082399885312</v>
      </c>
      <c r="J7" s="25">
        <v>79946.631121153361</v>
      </c>
      <c r="K7" s="25">
        <v>56901.630567378263</v>
      </c>
      <c r="L7" s="25">
        <v>69035.657989545885</v>
      </c>
      <c r="M7" s="25">
        <v>51205.132739102381</v>
      </c>
      <c r="N7" s="25">
        <v>57533.48948059653</v>
      </c>
      <c r="O7" s="25">
        <v>35476.266468903777</v>
      </c>
      <c r="P7" s="25">
        <v>59745.673306698314</v>
      </c>
      <c r="Q7" s="25">
        <v>26500.701587314994</v>
      </c>
      <c r="R7" s="25">
        <v>45934.119681655488</v>
      </c>
      <c r="S7" s="25">
        <v>30927.518500010578</v>
      </c>
      <c r="T7" s="25">
        <v>53988.190075008162</v>
      </c>
      <c r="U7" s="25">
        <v>28757.677543168596</v>
      </c>
      <c r="V7" s="25">
        <v>71494.601795948707</v>
      </c>
      <c r="W7" s="25">
        <v>26503.545116443966</v>
      </c>
      <c r="X7" s="25">
        <v>1000852.8506549298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3"/>
  <sheetViews>
    <sheetView topLeftCell="A3" zoomScaleNormal="100" workbookViewId="0">
      <selection activeCell="A3" sqref="A3:S303"/>
    </sheetView>
  </sheetViews>
  <sheetFormatPr defaultRowHeight="15"/>
  <cols>
    <col min="1" max="1" width="15" customWidth="1"/>
    <col min="2" max="2" width="17" customWidth="1"/>
    <col min="3" max="3" width="23" style="26" customWidth="1"/>
    <col min="4" max="4" width="12.42578125" style="26" bestFit="1" customWidth="1"/>
    <col min="5" max="5" width="19" customWidth="1"/>
    <col min="6" max="6" width="27" style="15" customWidth="1"/>
    <col min="7" max="7" width="15" customWidth="1"/>
    <col min="8" max="8" width="20" customWidth="1"/>
    <col min="9" max="9" width="16.42578125" customWidth="1"/>
    <col min="10" max="11" width="16.140625" customWidth="1"/>
    <col min="12" max="12" width="16.28515625" style="14" bestFit="1" customWidth="1"/>
    <col min="13" max="13" width="11" style="14" customWidth="1"/>
    <col min="14" max="14" width="12.7109375" style="14" bestFit="1" customWidth="1"/>
    <col min="15" max="15" width="12.85546875" bestFit="1" customWidth="1"/>
    <col min="16" max="16" width="17.5703125" style="22" bestFit="1" customWidth="1"/>
    <col min="17" max="17" width="15.28515625" bestFit="1" customWidth="1"/>
    <col min="18" max="18" width="24.28515625" bestFit="1" customWidth="1"/>
    <col min="19" max="19" width="27.140625" bestFit="1" customWidth="1"/>
  </cols>
  <sheetData>
    <row r="1" spans="1:19" ht="21">
      <c r="A1" s="1" t="s">
        <v>0</v>
      </c>
    </row>
    <row r="3" spans="1:19">
      <c r="A3" s="2" t="s">
        <v>1</v>
      </c>
      <c r="B3" s="2" t="s">
        <v>2</v>
      </c>
      <c r="C3" s="27" t="s">
        <v>3</v>
      </c>
      <c r="D3" s="30" t="s">
        <v>739</v>
      </c>
      <c r="E3" s="2" t="s">
        <v>4</v>
      </c>
      <c r="F3" s="16" t="s">
        <v>5</v>
      </c>
      <c r="G3" s="2" t="s">
        <v>6</v>
      </c>
      <c r="H3" s="2" t="s">
        <v>7</v>
      </c>
      <c r="I3" s="2" t="s">
        <v>717</v>
      </c>
      <c r="J3" s="2" t="s">
        <v>718</v>
      </c>
      <c r="K3" s="2" t="s">
        <v>719</v>
      </c>
      <c r="L3" s="19" t="s">
        <v>721</v>
      </c>
      <c r="M3" s="19" t="s">
        <v>720</v>
      </c>
      <c r="N3" s="19" t="s">
        <v>722</v>
      </c>
      <c r="O3" s="19" t="s">
        <v>723</v>
      </c>
      <c r="P3" s="19" t="s">
        <v>730</v>
      </c>
      <c r="Q3" s="19" t="s">
        <v>731</v>
      </c>
      <c r="R3" s="19" t="s">
        <v>732</v>
      </c>
      <c r="S3" s="19" t="s">
        <v>733</v>
      </c>
    </row>
    <row r="4" spans="1:19">
      <c r="A4" s="3" t="s">
        <v>8</v>
      </c>
      <c r="B4" s="3" t="s">
        <v>9</v>
      </c>
      <c r="C4" s="28" t="s">
        <v>10</v>
      </c>
      <c r="D4" s="28" t="str">
        <f>MID(C4,4,7)</f>
        <v>05/2025</v>
      </c>
      <c r="E4" s="4">
        <v>4760.96</v>
      </c>
      <c r="F4" s="17">
        <v>2.46</v>
      </c>
      <c r="G4" s="5">
        <v>2</v>
      </c>
      <c r="H4" s="6">
        <v>4.2000000000000003E-2</v>
      </c>
      <c r="I4" s="11">
        <f ca="1">TODAY()</f>
        <v>46322</v>
      </c>
      <c r="J4" s="12">
        <f ca="1">I$4-C4</f>
        <v>528</v>
      </c>
      <c r="K4" s="13">
        <f ca="1">J4/30</f>
        <v>17.600000000000001</v>
      </c>
      <c r="L4" s="14">
        <f ca="1">E4*POWER(1+F4/100,K4)</f>
        <v>7302.1562188446505</v>
      </c>
      <c r="M4" s="14">
        <f>E4*G4/100</f>
        <v>95.219200000000001</v>
      </c>
      <c r="N4" s="14">
        <f ca="1">E4*H4/100*J4</f>
        <v>1055.7904896</v>
      </c>
      <c r="O4" s="20">
        <f ca="1">L4+M4+N4</f>
        <v>8453.165908444651</v>
      </c>
      <c r="P4" s="22" t="str">
        <f ca="1">IF(J4&gt;=90,"SIM","NÃO")</f>
        <v>SIM</v>
      </c>
      <c r="Q4" t="b">
        <f ca="1">O4&gt;300</f>
        <v>1</v>
      </c>
      <c r="R4" t="str">
        <f ca="1">IF(AND(P4="SIM",Q4=TRUE), "SIM","NÃO")</f>
        <v>SIM</v>
      </c>
      <c r="S4" t="str">
        <f ca="1">IF(OR(P4="SIM",YEAR(TODAY())-YEAR(C4)&gt;=1), "SIM", "NÃO")</f>
        <v>SIM</v>
      </c>
    </row>
    <row r="5" spans="1:19">
      <c r="A5" s="7" t="s">
        <v>11</v>
      </c>
      <c r="B5" s="7" t="s">
        <v>12</v>
      </c>
      <c r="C5" s="29" t="s">
        <v>13</v>
      </c>
      <c r="D5" s="28" t="str">
        <f t="shared" ref="D5:D68" si="0">MID(C5,4,7)</f>
        <v>10/2026</v>
      </c>
      <c r="E5" s="8">
        <v>906.57</v>
      </c>
      <c r="F5" s="18">
        <v>1.1200000000000001</v>
      </c>
      <c r="G5" s="9">
        <v>2</v>
      </c>
      <c r="H5" s="10">
        <v>4.7300000000000002E-2</v>
      </c>
      <c r="J5" s="12">
        <f t="shared" ref="J5:J68" ca="1" si="1">I$4-C5</f>
        <v>10</v>
      </c>
      <c r="K5" s="13">
        <f t="shared" ref="K5:K68" ca="1" si="2">J5/30</f>
        <v>0.33333333333333331</v>
      </c>
      <c r="L5" s="14">
        <f t="shared" ref="L5:L68" ca="1" si="3">E5*POWER(1+F5/100,K5)</f>
        <v>909.94197046787258</v>
      </c>
      <c r="M5" s="14">
        <f t="shared" ref="M5:M68" si="4">E5*G5/100</f>
        <v>18.131399999999999</v>
      </c>
      <c r="N5" s="14">
        <f t="shared" ref="N5:N68" ca="1" si="5">E5*H5/100*J5</f>
        <v>4.2880761000000005</v>
      </c>
      <c r="O5" s="20">
        <f t="shared" ref="O5:O68" ca="1" si="6">L5+M5+N5</f>
        <v>932.36144656787258</v>
      </c>
      <c r="P5" s="22" t="str">
        <f t="shared" ref="P5:P68" ca="1" si="7">IF(J5&gt;=90,"SIM","NÃO")</f>
        <v>NÃO</v>
      </c>
      <c r="Q5" t="b">
        <f t="shared" ref="Q5:Q68" ca="1" si="8">O5&gt;300</f>
        <v>1</v>
      </c>
      <c r="R5" t="str">
        <f t="shared" ref="R5:R68" ca="1" si="9">IF(AND(P5="SIM",Q5=TRUE), "SIM","NÃO")</f>
        <v>NÃO</v>
      </c>
      <c r="S5" t="str">
        <f t="shared" ref="S5:S68" ca="1" si="10">IF(OR(P5="SIM",YEAR(TODAY())-YEAR(C5)&gt;=1), "SIM", "NÃO")</f>
        <v>NÃO</v>
      </c>
    </row>
    <row r="6" spans="1:19">
      <c r="A6" s="3" t="s">
        <v>14</v>
      </c>
      <c r="B6" s="3" t="s">
        <v>15</v>
      </c>
      <c r="C6" s="28" t="s">
        <v>16</v>
      </c>
      <c r="D6" s="28" t="str">
        <f t="shared" si="0"/>
        <v>05/2025</v>
      </c>
      <c r="E6" s="4">
        <v>3584.15</v>
      </c>
      <c r="F6" s="17">
        <v>1.04</v>
      </c>
      <c r="G6" s="5">
        <v>2</v>
      </c>
      <c r="H6" s="6">
        <v>4.9399999999999999E-2</v>
      </c>
      <c r="J6" s="12">
        <f t="shared" ca="1" si="1"/>
        <v>543</v>
      </c>
      <c r="K6" s="13">
        <f t="shared" ca="1" si="2"/>
        <v>18.100000000000001</v>
      </c>
      <c r="L6" s="14">
        <f t="shared" ca="1" si="3"/>
        <v>4322.3067648827555</v>
      </c>
      <c r="M6" s="14">
        <f t="shared" si="4"/>
        <v>71.683000000000007</v>
      </c>
      <c r="N6" s="14">
        <f t="shared" ca="1" si="5"/>
        <v>961.41956429999993</v>
      </c>
      <c r="O6" s="20">
        <f t="shared" ca="1" si="6"/>
        <v>5355.4093291827558</v>
      </c>
      <c r="P6" s="22" t="str">
        <f t="shared" ca="1" si="7"/>
        <v>SIM</v>
      </c>
      <c r="Q6" t="b">
        <f t="shared" ca="1" si="8"/>
        <v>1</v>
      </c>
      <c r="R6" t="str">
        <f t="shared" ca="1" si="9"/>
        <v>SIM</v>
      </c>
      <c r="S6" t="str">
        <f t="shared" ca="1" si="10"/>
        <v>SIM</v>
      </c>
    </row>
    <row r="7" spans="1:19">
      <c r="A7" s="7" t="s">
        <v>17</v>
      </c>
      <c r="B7" s="7" t="s">
        <v>18</v>
      </c>
      <c r="C7" s="29" t="s">
        <v>19</v>
      </c>
      <c r="D7" s="28" t="str">
        <f t="shared" si="0"/>
        <v>06/2026</v>
      </c>
      <c r="E7" s="8">
        <v>1179.8399999999999</v>
      </c>
      <c r="F7" s="18">
        <v>1.36</v>
      </c>
      <c r="G7" s="9">
        <v>2</v>
      </c>
      <c r="H7" s="10">
        <v>3.3700000000000001E-2</v>
      </c>
      <c r="J7" s="12">
        <f t="shared" ca="1" si="1"/>
        <v>129</v>
      </c>
      <c r="K7" s="13">
        <f t="shared" ca="1" si="2"/>
        <v>4.3</v>
      </c>
      <c r="L7" s="14">
        <f t="shared" ca="1" si="3"/>
        <v>1250.4015518037804</v>
      </c>
      <c r="M7" s="14">
        <f t="shared" si="4"/>
        <v>23.596799999999998</v>
      </c>
      <c r="N7" s="14">
        <f t="shared" ca="1" si="5"/>
        <v>51.291184319999999</v>
      </c>
      <c r="O7" s="20">
        <f t="shared" ca="1" si="6"/>
        <v>1325.2895361237804</v>
      </c>
      <c r="P7" s="22" t="str">
        <f t="shared" ca="1" si="7"/>
        <v>SIM</v>
      </c>
      <c r="Q7" t="b">
        <f t="shared" ca="1" si="8"/>
        <v>1</v>
      </c>
      <c r="R7" t="str">
        <f t="shared" ca="1" si="9"/>
        <v>SIM</v>
      </c>
      <c r="S7" t="str">
        <f t="shared" ca="1" si="10"/>
        <v>SIM</v>
      </c>
    </row>
    <row r="8" spans="1:19">
      <c r="A8" s="3" t="s">
        <v>20</v>
      </c>
      <c r="B8" s="3" t="s">
        <v>21</v>
      </c>
      <c r="C8" s="28" t="s">
        <v>22</v>
      </c>
      <c r="D8" s="28" t="str">
        <f t="shared" si="0"/>
        <v>05/2026</v>
      </c>
      <c r="E8" s="4">
        <v>2695.07</v>
      </c>
      <c r="F8" s="17">
        <v>1.86</v>
      </c>
      <c r="G8" s="5">
        <v>2</v>
      </c>
      <c r="H8" s="6">
        <v>3.5799999999999998E-2</v>
      </c>
      <c r="J8" s="12">
        <f t="shared" ca="1" si="1"/>
        <v>165</v>
      </c>
      <c r="K8" s="13">
        <f t="shared" ca="1" si="2"/>
        <v>5.5</v>
      </c>
      <c r="L8" s="14">
        <f t="shared" ca="1" si="3"/>
        <v>2982.5672505729117</v>
      </c>
      <c r="M8" s="14">
        <f t="shared" si="4"/>
        <v>53.901400000000002</v>
      </c>
      <c r="N8" s="14">
        <f t="shared" ca="1" si="5"/>
        <v>159.19778490000002</v>
      </c>
      <c r="O8" s="20">
        <f t="shared" ca="1" si="6"/>
        <v>3195.6664354729119</v>
      </c>
      <c r="P8" s="22" t="str">
        <f t="shared" ca="1" si="7"/>
        <v>SIM</v>
      </c>
      <c r="Q8" t="b">
        <f t="shared" ca="1" si="8"/>
        <v>1</v>
      </c>
      <c r="R8" t="str">
        <f t="shared" ca="1" si="9"/>
        <v>SIM</v>
      </c>
      <c r="S8" t="str">
        <f t="shared" ca="1" si="10"/>
        <v>SIM</v>
      </c>
    </row>
    <row r="9" spans="1:19">
      <c r="A9" s="7" t="s">
        <v>23</v>
      </c>
      <c r="B9" s="7" t="s">
        <v>24</v>
      </c>
      <c r="C9" s="29" t="s">
        <v>25</v>
      </c>
      <c r="D9" s="28" t="str">
        <f t="shared" si="0"/>
        <v>03/2025</v>
      </c>
      <c r="E9" s="8">
        <v>376.33</v>
      </c>
      <c r="F9" s="18">
        <v>2.95</v>
      </c>
      <c r="G9" s="9">
        <v>2</v>
      </c>
      <c r="H9" s="10">
        <v>3.4700000000000002E-2</v>
      </c>
      <c r="J9" s="12">
        <f t="shared" ca="1" si="1"/>
        <v>582</v>
      </c>
      <c r="K9" s="13">
        <f t="shared" ca="1" si="2"/>
        <v>19.399999999999999</v>
      </c>
      <c r="L9" s="14">
        <f t="shared" ca="1" si="3"/>
        <v>661.48507389328176</v>
      </c>
      <c r="M9" s="14">
        <f t="shared" si="4"/>
        <v>7.5265999999999993</v>
      </c>
      <c r="N9" s="14">
        <f t="shared" ca="1" si="5"/>
        <v>76.00134881999999</v>
      </c>
      <c r="O9" s="20">
        <f t="shared" ca="1" si="6"/>
        <v>745.01302271328177</v>
      </c>
      <c r="P9" s="22" t="str">
        <f t="shared" ca="1" si="7"/>
        <v>SIM</v>
      </c>
      <c r="Q9" t="b">
        <f t="shared" ca="1" si="8"/>
        <v>1</v>
      </c>
      <c r="R9" t="str">
        <f t="shared" ca="1" si="9"/>
        <v>SIM</v>
      </c>
      <c r="S9" t="str">
        <f t="shared" ca="1" si="10"/>
        <v>SIM</v>
      </c>
    </row>
    <row r="10" spans="1:19">
      <c r="A10" s="3" t="s">
        <v>26</v>
      </c>
      <c r="B10" s="3" t="s">
        <v>27</v>
      </c>
      <c r="C10" s="28" t="s">
        <v>28</v>
      </c>
      <c r="D10" s="28" t="str">
        <f t="shared" si="0"/>
        <v>08/2026</v>
      </c>
      <c r="E10" s="4">
        <v>2644.04</v>
      </c>
      <c r="F10" s="17">
        <v>2.1800000000000002</v>
      </c>
      <c r="G10" s="5">
        <v>2</v>
      </c>
      <c r="H10" s="6">
        <v>3.09E-2</v>
      </c>
      <c r="J10" s="12">
        <f t="shared" ca="1" si="1"/>
        <v>76</v>
      </c>
      <c r="K10" s="13">
        <f t="shared" ca="1" si="2"/>
        <v>2.5333333333333332</v>
      </c>
      <c r="L10" s="14">
        <f t="shared" ca="1" si="3"/>
        <v>2792.5114564140513</v>
      </c>
      <c r="M10" s="14">
        <f t="shared" si="4"/>
        <v>52.880800000000001</v>
      </c>
      <c r="N10" s="14">
        <f t="shared" ca="1" si="5"/>
        <v>62.092635360000003</v>
      </c>
      <c r="O10" s="20">
        <f t="shared" ca="1" si="6"/>
        <v>2907.484891774051</v>
      </c>
      <c r="P10" s="22" t="str">
        <f t="shared" ca="1" si="7"/>
        <v>NÃO</v>
      </c>
      <c r="Q10" t="b">
        <f t="shared" ca="1" si="8"/>
        <v>1</v>
      </c>
      <c r="R10" t="str">
        <f t="shared" ca="1" si="9"/>
        <v>NÃO</v>
      </c>
      <c r="S10" t="str">
        <f t="shared" ca="1" si="10"/>
        <v>NÃO</v>
      </c>
    </row>
    <row r="11" spans="1:19">
      <c r="A11" s="7" t="s">
        <v>29</v>
      </c>
      <c r="B11" s="7" t="s">
        <v>30</v>
      </c>
      <c r="C11" s="29" t="s">
        <v>31</v>
      </c>
      <c r="D11" s="28" t="str">
        <f t="shared" si="0"/>
        <v>02/2025</v>
      </c>
      <c r="E11" s="8">
        <v>465.5</v>
      </c>
      <c r="F11" s="18">
        <v>2.9</v>
      </c>
      <c r="G11" s="9">
        <v>2</v>
      </c>
      <c r="H11" s="10">
        <v>4.9299999999999997E-2</v>
      </c>
      <c r="J11" s="12">
        <f t="shared" ca="1" si="1"/>
        <v>621</v>
      </c>
      <c r="K11" s="13">
        <f t="shared" ca="1" si="2"/>
        <v>20.7</v>
      </c>
      <c r="L11" s="14">
        <f t="shared" ca="1" si="3"/>
        <v>841.23618055717884</v>
      </c>
      <c r="M11" s="14">
        <f t="shared" si="4"/>
        <v>9.31</v>
      </c>
      <c r="N11" s="14">
        <f t="shared" ca="1" si="5"/>
        <v>142.51422149999999</v>
      </c>
      <c r="O11" s="20">
        <f t="shared" ca="1" si="6"/>
        <v>993.06040205717875</v>
      </c>
      <c r="P11" s="22" t="str">
        <f t="shared" ca="1" si="7"/>
        <v>SIM</v>
      </c>
      <c r="Q11" t="b">
        <f t="shared" ca="1" si="8"/>
        <v>1</v>
      </c>
      <c r="R11" t="str">
        <f t="shared" ca="1" si="9"/>
        <v>SIM</v>
      </c>
      <c r="S11" t="str">
        <f t="shared" ca="1" si="10"/>
        <v>SIM</v>
      </c>
    </row>
    <row r="12" spans="1:19">
      <c r="A12" s="3" t="s">
        <v>32</v>
      </c>
      <c r="B12" s="3" t="s">
        <v>33</v>
      </c>
      <c r="C12" s="28" t="s">
        <v>34</v>
      </c>
      <c r="D12" s="28" t="str">
        <f t="shared" si="0"/>
        <v>10/2025</v>
      </c>
      <c r="E12" s="4">
        <v>1627.38</v>
      </c>
      <c r="F12" s="17">
        <v>1.2</v>
      </c>
      <c r="G12" s="5">
        <v>2</v>
      </c>
      <c r="H12" s="6">
        <v>4.3700000000000003E-2</v>
      </c>
      <c r="J12" s="12">
        <f t="shared" ca="1" si="1"/>
        <v>383</v>
      </c>
      <c r="K12" s="13">
        <f t="shared" ca="1" si="2"/>
        <v>12.766666666666667</v>
      </c>
      <c r="L12" s="14">
        <f t="shared" ca="1" si="3"/>
        <v>1895.0769559502637</v>
      </c>
      <c r="M12" s="14">
        <f t="shared" si="4"/>
        <v>32.547600000000003</v>
      </c>
      <c r="N12" s="14">
        <f t="shared" ca="1" si="5"/>
        <v>272.37621798000004</v>
      </c>
      <c r="O12" s="20">
        <f t="shared" ca="1" si="6"/>
        <v>2200.0007739302637</v>
      </c>
      <c r="P12" s="22" t="str">
        <f t="shared" ca="1" si="7"/>
        <v>SIM</v>
      </c>
      <c r="Q12" t="b">
        <f t="shared" ca="1" si="8"/>
        <v>1</v>
      </c>
      <c r="R12" t="str">
        <f t="shared" ca="1" si="9"/>
        <v>SIM</v>
      </c>
      <c r="S12" t="str">
        <f t="shared" ca="1" si="10"/>
        <v>SIM</v>
      </c>
    </row>
    <row r="13" spans="1:19">
      <c r="A13" s="7" t="s">
        <v>35</v>
      </c>
      <c r="B13" s="7" t="s">
        <v>36</v>
      </c>
      <c r="C13" s="29" t="s">
        <v>37</v>
      </c>
      <c r="D13" s="28" t="str">
        <f t="shared" si="0"/>
        <v>02/2026</v>
      </c>
      <c r="E13" s="8">
        <v>741.89</v>
      </c>
      <c r="F13" s="18">
        <v>1.99</v>
      </c>
      <c r="G13" s="9">
        <v>2</v>
      </c>
      <c r="H13" s="10">
        <v>3.0700000000000002E-2</v>
      </c>
      <c r="J13" s="12">
        <f t="shared" ca="1" si="1"/>
        <v>256</v>
      </c>
      <c r="K13" s="13">
        <f t="shared" ca="1" si="2"/>
        <v>8.5333333333333332</v>
      </c>
      <c r="L13" s="14">
        <f t="shared" ca="1" si="3"/>
        <v>877.73678682392085</v>
      </c>
      <c r="M13" s="14">
        <f t="shared" si="4"/>
        <v>14.8378</v>
      </c>
      <c r="N13" s="14">
        <f t="shared" ca="1" si="5"/>
        <v>58.306618880000002</v>
      </c>
      <c r="O13" s="20">
        <f t="shared" ca="1" si="6"/>
        <v>950.88120570392084</v>
      </c>
      <c r="P13" s="22" t="str">
        <f t="shared" ca="1" si="7"/>
        <v>SIM</v>
      </c>
      <c r="Q13" t="b">
        <f t="shared" ca="1" si="8"/>
        <v>1</v>
      </c>
      <c r="R13" t="str">
        <f t="shared" ca="1" si="9"/>
        <v>SIM</v>
      </c>
      <c r="S13" t="str">
        <f t="shared" ca="1" si="10"/>
        <v>SIM</v>
      </c>
    </row>
    <row r="14" spans="1:19">
      <c r="A14" s="3" t="s">
        <v>38</v>
      </c>
      <c r="B14" s="3" t="s">
        <v>39</v>
      </c>
      <c r="C14" s="28" t="s">
        <v>40</v>
      </c>
      <c r="D14" s="28" t="str">
        <f t="shared" si="0"/>
        <v>08/2025</v>
      </c>
      <c r="E14" s="4">
        <v>1405.08</v>
      </c>
      <c r="F14" s="17">
        <v>2.33</v>
      </c>
      <c r="G14" s="5">
        <v>2</v>
      </c>
      <c r="H14" s="6">
        <v>3.6200000000000003E-2</v>
      </c>
      <c r="J14" s="12">
        <f t="shared" ca="1" si="1"/>
        <v>428</v>
      </c>
      <c r="K14" s="13">
        <f t="shared" ca="1" si="2"/>
        <v>14.266666666666667</v>
      </c>
      <c r="L14" s="14">
        <f t="shared" ca="1" si="3"/>
        <v>1951.686911271619</v>
      </c>
      <c r="M14" s="14">
        <f t="shared" si="4"/>
        <v>28.101599999999998</v>
      </c>
      <c r="N14" s="14">
        <f t="shared" ca="1" si="5"/>
        <v>217.69747488000004</v>
      </c>
      <c r="O14" s="20">
        <f t="shared" ca="1" si="6"/>
        <v>2197.4859861516188</v>
      </c>
      <c r="P14" s="22" t="str">
        <f t="shared" ca="1" si="7"/>
        <v>SIM</v>
      </c>
      <c r="Q14" t="b">
        <f t="shared" ca="1" si="8"/>
        <v>1</v>
      </c>
      <c r="R14" t="str">
        <f t="shared" ca="1" si="9"/>
        <v>SIM</v>
      </c>
      <c r="S14" t="str">
        <f t="shared" ca="1" si="10"/>
        <v>SIM</v>
      </c>
    </row>
    <row r="15" spans="1:19">
      <c r="A15" s="7" t="s">
        <v>41</v>
      </c>
      <c r="B15" s="7" t="s">
        <v>42</v>
      </c>
      <c r="C15" s="29" t="s">
        <v>43</v>
      </c>
      <c r="D15" s="28" t="str">
        <f t="shared" si="0"/>
        <v>03/2026</v>
      </c>
      <c r="E15" s="8">
        <v>2801.54</v>
      </c>
      <c r="F15" s="18">
        <v>1.37</v>
      </c>
      <c r="G15" s="9">
        <v>2</v>
      </c>
      <c r="H15" s="10">
        <v>4.9399999999999999E-2</v>
      </c>
      <c r="J15" s="12">
        <f t="shared" ca="1" si="1"/>
        <v>239</v>
      </c>
      <c r="K15" s="13">
        <f t="shared" ca="1" si="2"/>
        <v>7.9666666666666668</v>
      </c>
      <c r="L15" s="14">
        <f t="shared" ca="1" si="3"/>
        <v>3122.3056723840027</v>
      </c>
      <c r="M15" s="14">
        <f t="shared" si="4"/>
        <v>56.030799999999999</v>
      </c>
      <c r="N15" s="14">
        <f t="shared" ca="1" si="5"/>
        <v>330.76662163999998</v>
      </c>
      <c r="O15" s="20">
        <f t="shared" ca="1" si="6"/>
        <v>3509.1030940240025</v>
      </c>
      <c r="P15" s="22" t="str">
        <f t="shared" ca="1" si="7"/>
        <v>SIM</v>
      </c>
      <c r="Q15" t="b">
        <f t="shared" ca="1" si="8"/>
        <v>1</v>
      </c>
      <c r="R15" t="str">
        <f t="shared" ca="1" si="9"/>
        <v>SIM</v>
      </c>
      <c r="S15" t="str">
        <f t="shared" ca="1" si="10"/>
        <v>SIM</v>
      </c>
    </row>
    <row r="16" spans="1:19">
      <c r="A16" s="3" t="s">
        <v>44</v>
      </c>
      <c r="B16" s="3" t="s">
        <v>45</v>
      </c>
      <c r="C16" s="28" t="s">
        <v>46</v>
      </c>
      <c r="D16" s="28" t="str">
        <f t="shared" si="0"/>
        <v>07/2026</v>
      </c>
      <c r="E16" s="4">
        <v>2066.48</v>
      </c>
      <c r="F16" s="17">
        <v>2.85</v>
      </c>
      <c r="G16" s="5">
        <v>2</v>
      </c>
      <c r="H16" s="6">
        <v>4.4499999999999998E-2</v>
      </c>
      <c r="J16" s="12">
        <f t="shared" ca="1" si="1"/>
        <v>93</v>
      </c>
      <c r="K16" s="13">
        <f t="shared" ca="1" si="2"/>
        <v>3.1</v>
      </c>
      <c r="L16" s="14">
        <f t="shared" ca="1" si="3"/>
        <v>2254.5741544021112</v>
      </c>
      <c r="M16" s="14">
        <f t="shared" si="4"/>
        <v>41.329599999999999</v>
      </c>
      <c r="N16" s="14">
        <f t="shared" ca="1" si="5"/>
        <v>85.5212748</v>
      </c>
      <c r="O16" s="20">
        <f t="shared" ca="1" si="6"/>
        <v>2381.4250292021111</v>
      </c>
      <c r="P16" s="22" t="str">
        <f t="shared" ca="1" si="7"/>
        <v>SIM</v>
      </c>
      <c r="Q16" t="b">
        <f t="shared" ca="1" si="8"/>
        <v>1</v>
      </c>
      <c r="R16" t="str">
        <f t="shared" ca="1" si="9"/>
        <v>SIM</v>
      </c>
      <c r="S16" t="str">
        <f t="shared" ca="1" si="10"/>
        <v>SIM</v>
      </c>
    </row>
    <row r="17" spans="1:19">
      <c r="A17" s="7" t="s">
        <v>47</v>
      </c>
      <c r="B17" s="7" t="s">
        <v>48</v>
      </c>
      <c r="C17" s="29" t="s">
        <v>49</v>
      </c>
      <c r="D17" s="28" t="str">
        <f t="shared" si="0"/>
        <v>10/2025</v>
      </c>
      <c r="E17" s="8">
        <v>2916.65</v>
      </c>
      <c r="F17" s="18">
        <v>2.04</v>
      </c>
      <c r="G17" s="9">
        <v>2</v>
      </c>
      <c r="H17" s="10">
        <v>4.9200000000000001E-2</v>
      </c>
      <c r="J17" s="12">
        <f t="shared" ca="1" si="1"/>
        <v>372</v>
      </c>
      <c r="K17" s="13">
        <f t="shared" ca="1" si="2"/>
        <v>12.4</v>
      </c>
      <c r="L17" s="14">
        <f t="shared" ca="1" si="3"/>
        <v>3746.6048919200425</v>
      </c>
      <c r="M17" s="14">
        <f t="shared" si="4"/>
        <v>58.332999999999998</v>
      </c>
      <c r="N17" s="14">
        <f t="shared" ca="1" si="5"/>
        <v>533.81694959999993</v>
      </c>
      <c r="O17" s="20">
        <f t="shared" ca="1" si="6"/>
        <v>4338.7548415200426</v>
      </c>
      <c r="P17" s="22" t="str">
        <f t="shared" ca="1" si="7"/>
        <v>SIM</v>
      </c>
      <c r="Q17" t="b">
        <f t="shared" ca="1" si="8"/>
        <v>1</v>
      </c>
      <c r="R17" t="str">
        <f t="shared" ca="1" si="9"/>
        <v>SIM</v>
      </c>
      <c r="S17" t="str">
        <f t="shared" ca="1" si="10"/>
        <v>SIM</v>
      </c>
    </row>
    <row r="18" spans="1:19">
      <c r="A18" s="3" t="s">
        <v>50</v>
      </c>
      <c r="B18" s="3" t="s">
        <v>51</v>
      </c>
      <c r="C18" s="28" t="s">
        <v>36</v>
      </c>
      <c r="D18" s="28" t="str">
        <f t="shared" si="0"/>
        <v>01/2026</v>
      </c>
      <c r="E18" s="4">
        <v>4169.38</v>
      </c>
      <c r="F18" s="17">
        <v>1.71</v>
      </c>
      <c r="G18" s="5">
        <v>2</v>
      </c>
      <c r="H18" s="6">
        <v>3.56E-2</v>
      </c>
      <c r="J18" s="12">
        <f t="shared" ca="1" si="1"/>
        <v>298</v>
      </c>
      <c r="K18" s="13">
        <f t="shared" ca="1" si="2"/>
        <v>9.9333333333333336</v>
      </c>
      <c r="L18" s="14">
        <f t="shared" ca="1" si="3"/>
        <v>4934.2041207353586</v>
      </c>
      <c r="M18" s="14">
        <f t="shared" si="4"/>
        <v>83.387600000000006</v>
      </c>
      <c r="N18" s="14">
        <f t="shared" ca="1" si="5"/>
        <v>442.32118543999997</v>
      </c>
      <c r="O18" s="20">
        <f t="shared" ca="1" si="6"/>
        <v>5459.9129061753583</v>
      </c>
      <c r="P18" s="22" t="str">
        <f t="shared" ca="1" si="7"/>
        <v>SIM</v>
      </c>
      <c r="Q18" t="b">
        <f t="shared" ca="1" si="8"/>
        <v>1</v>
      </c>
      <c r="R18" t="str">
        <f t="shared" ca="1" si="9"/>
        <v>SIM</v>
      </c>
      <c r="S18" t="str">
        <f t="shared" ca="1" si="10"/>
        <v>SIM</v>
      </c>
    </row>
    <row r="19" spans="1:19">
      <c r="A19" s="7" t="s">
        <v>52</v>
      </c>
      <c r="B19" s="7" t="s">
        <v>53</v>
      </c>
      <c r="C19" s="29" t="s">
        <v>54</v>
      </c>
      <c r="D19" s="28" t="str">
        <f t="shared" si="0"/>
        <v>02/2026</v>
      </c>
      <c r="E19" s="8">
        <v>833.48</v>
      </c>
      <c r="F19" s="18">
        <v>2.6</v>
      </c>
      <c r="G19" s="9">
        <v>2</v>
      </c>
      <c r="H19" s="10">
        <v>3.15E-2</v>
      </c>
      <c r="J19" s="12">
        <f t="shared" ca="1" si="1"/>
        <v>258</v>
      </c>
      <c r="K19" s="13">
        <f t="shared" ca="1" si="2"/>
        <v>8.6</v>
      </c>
      <c r="L19" s="14">
        <f t="shared" ca="1" si="3"/>
        <v>1039.3515922836202</v>
      </c>
      <c r="M19" s="14">
        <f t="shared" si="4"/>
        <v>16.669599999999999</v>
      </c>
      <c r="N19" s="14">
        <f t="shared" ca="1" si="5"/>
        <v>67.736919600000007</v>
      </c>
      <c r="O19" s="20">
        <f t="shared" ca="1" si="6"/>
        <v>1123.7581118836201</v>
      </c>
      <c r="P19" s="22" t="str">
        <f t="shared" ca="1" si="7"/>
        <v>SIM</v>
      </c>
      <c r="Q19" t="b">
        <f t="shared" ca="1" si="8"/>
        <v>1</v>
      </c>
      <c r="R19" t="str">
        <f t="shared" ca="1" si="9"/>
        <v>SIM</v>
      </c>
      <c r="S19" t="str">
        <f t="shared" ca="1" si="10"/>
        <v>SIM</v>
      </c>
    </row>
    <row r="20" spans="1:19">
      <c r="A20" s="3" t="s">
        <v>55</v>
      </c>
      <c r="B20" s="3" t="s">
        <v>56</v>
      </c>
      <c r="C20" s="28" t="s">
        <v>57</v>
      </c>
      <c r="D20" s="28" t="str">
        <f t="shared" si="0"/>
        <v>07/2026</v>
      </c>
      <c r="E20" s="4">
        <v>2065.1799999999998</v>
      </c>
      <c r="F20" s="17">
        <v>1.59</v>
      </c>
      <c r="G20" s="5">
        <v>2</v>
      </c>
      <c r="H20" s="6">
        <v>3.0300000000000001E-2</v>
      </c>
      <c r="J20" s="12">
        <f t="shared" ca="1" si="1"/>
        <v>106</v>
      </c>
      <c r="K20" s="13">
        <f t="shared" ca="1" si="2"/>
        <v>3.5333333333333332</v>
      </c>
      <c r="L20" s="14">
        <f t="shared" ca="1" si="3"/>
        <v>2183.5575213135739</v>
      </c>
      <c r="M20" s="14">
        <f t="shared" si="4"/>
        <v>41.303599999999996</v>
      </c>
      <c r="N20" s="14">
        <f t="shared" ca="1" si="5"/>
        <v>66.329451239999997</v>
      </c>
      <c r="O20" s="20">
        <f t="shared" ca="1" si="6"/>
        <v>2291.1905725535739</v>
      </c>
      <c r="P20" s="22" t="str">
        <f t="shared" ca="1" si="7"/>
        <v>SIM</v>
      </c>
      <c r="Q20" t="b">
        <f t="shared" ca="1" si="8"/>
        <v>1</v>
      </c>
      <c r="R20" t="str">
        <f t="shared" ca="1" si="9"/>
        <v>SIM</v>
      </c>
      <c r="S20" t="str">
        <f t="shared" ca="1" si="10"/>
        <v>SIM</v>
      </c>
    </row>
    <row r="21" spans="1:19">
      <c r="A21" s="7" t="s">
        <v>58</v>
      </c>
      <c r="B21" s="7" t="s">
        <v>59</v>
      </c>
      <c r="C21" s="29" t="s">
        <v>60</v>
      </c>
      <c r="D21" s="28" t="str">
        <f t="shared" si="0"/>
        <v>06/2026</v>
      </c>
      <c r="E21" s="8">
        <v>3600.01</v>
      </c>
      <c r="F21" s="18">
        <v>2.58</v>
      </c>
      <c r="G21" s="9">
        <v>2</v>
      </c>
      <c r="H21" s="10">
        <v>4.2099999999999999E-2</v>
      </c>
      <c r="J21" s="12">
        <f t="shared" ca="1" si="1"/>
        <v>135</v>
      </c>
      <c r="K21" s="13">
        <f t="shared" ca="1" si="2"/>
        <v>4.5</v>
      </c>
      <c r="L21" s="14">
        <f t="shared" ca="1" si="3"/>
        <v>4037.2517682657635</v>
      </c>
      <c r="M21" s="14">
        <f t="shared" si="4"/>
        <v>72.000200000000007</v>
      </c>
      <c r="N21" s="14">
        <f t="shared" ca="1" si="5"/>
        <v>204.60656835</v>
      </c>
      <c r="O21" s="20">
        <f t="shared" ca="1" si="6"/>
        <v>4313.858536615764</v>
      </c>
      <c r="P21" s="22" t="str">
        <f t="shared" ca="1" si="7"/>
        <v>SIM</v>
      </c>
      <c r="Q21" t="b">
        <f t="shared" ca="1" si="8"/>
        <v>1</v>
      </c>
      <c r="R21" t="str">
        <f t="shared" ca="1" si="9"/>
        <v>SIM</v>
      </c>
      <c r="S21" t="str">
        <f t="shared" ca="1" si="10"/>
        <v>SIM</v>
      </c>
    </row>
    <row r="22" spans="1:19">
      <c r="A22" s="3" t="s">
        <v>61</v>
      </c>
      <c r="B22" s="3" t="s">
        <v>62</v>
      </c>
      <c r="C22" s="28" t="s">
        <v>63</v>
      </c>
      <c r="D22" s="28" t="str">
        <f t="shared" si="0"/>
        <v>05/2026</v>
      </c>
      <c r="E22" s="4">
        <v>3307.72</v>
      </c>
      <c r="F22" s="17">
        <v>2.83</v>
      </c>
      <c r="G22" s="5">
        <v>2</v>
      </c>
      <c r="H22" s="6">
        <v>4.7E-2</v>
      </c>
      <c r="J22" s="12">
        <f t="shared" ca="1" si="1"/>
        <v>154</v>
      </c>
      <c r="K22" s="13">
        <f t="shared" ca="1" si="2"/>
        <v>5.1333333333333337</v>
      </c>
      <c r="L22" s="14">
        <f t="shared" ca="1" si="3"/>
        <v>3817.1910452199591</v>
      </c>
      <c r="M22" s="14">
        <f t="shared" si="4"/>
        <v>66.154399999999995</v>
      </c>
      <c r="N22" s="14">
        <f t="shared" ca="1" si="5"/>
        <v>239.41277359999998</v>
      </c>
      <c r="O22" s="20">
        <f t="shared" ca="1" si="6"/>
        <v>4122.7582188199585</v>
      </c>
      <c r="P22" s="22" t="str">
        <f t="shared" ca="1" si="7"/>
        <v>SIM</v>
      </c>
      <c r="Q22" t="b">
        <f t="shared" ca="1" si="8"/>
        <v>1</v>
      </c>
      <c r="R22" t="str">
        <f t="shared" ca="1" si="9"/>
        <v>SIM</v>
      </c>
      <c r="S22" t="str">
        <f t="shared" ca="1" si="10"/>
        <v>SIM</v>
      </c>
    </row>
    <row r="23" spans="1:19">
      <c r="A23" s="7" t="s">
        <v>64</v>
      </c>
      <c r="B23" s="7" t="s">
        <v>65</v>
      </c>
      <c r="C23" s="29" t="s">
        <v>66</v>
      </c>
      <c r="D23" s="28" t="str">
        <f t="shared" si="0"/>
        <v>03/2025</v>
      </c>
      <c r="E23" s="8">
        <v>1948.47</v>
      </c>
      <c r="F23" s="18">
        <v>2.34</v>
      </c>
      <c r="G23" s="9">
        <v>2</v>
      </c>
      <c r="H23" s="10">
        <v>4.3299999999999998E-2</v>
      </c>
      <c r="J23" s="12">
        <f t="shared" ca="1" si="1"/>
        <v>602</v>
      </c>
      <c r="K23" s="13">
        <f t="shared" ca="1" si="2"/>
        <v>20.066666666666666</v>
      </c>
      <c r="L23" s="14">
        <f t="shared" ca="1" si="3"/>
        <v>3099.3574779221453</v>
      </c>
      <c r="M23" s="14">
        <f t="shared" si="4"/>
        <v>38.9694</v>
      </c>
      <c r="N23" s="14">
        <f t="shared" ca="1" si="5"/>
        <v>507.89988102000007</v>
      </c>
      <c r="O23" s="20">
        <f t="shared" ca="1" si="6"/>
        <v>3646.2267589421454</v>
      </c>
      <c r="P23" s="22" t="str">
        <f t="shared" ca="1" si="7"/>
        <v>SIM</v>
      </c>
      <c r="Q23" t="b">
        <f t="shared" ca="1" si="8"/>
        <v>1</v>
      </c>
      <c r="R23" t="str">
        <f t="shared" ca="1" si="9"/>
        <v>SIM</v>
      </c>
      <c r="S23" t="str">
        <f t="shared" ca="1" si="10"/>
        <v>SIM</v>
      </c>
    </row>
    <row r="24" spans="1:19">
      <c r="A24" s="3" t="s">
        <v>67</v>
      </c>
      <c r="B24" s="3" t="s">
        <v>68</v>
      </c>
      <c r="C24" s="28" t="s">
        <v>69</v>
      </c>
      <c r="D24" s="28" t="str">
        <f t="shared" si="0"/>
        <v>07/2026</v>
      </c>
      <c r="E24" s="4">
        <v>2007.2</v>
      </c>
      <c r="F24" s="17">
        <v>2.94</v>
      </c>
      <c r="G24" s="5">
        <v>2</v>
      </c>
      <c r="H24" s="6">
        <v>4.7E-2</v>
      </c>
      <c r="J24" s="12">
        <f t="shared" ca="1" si="1"/>
        <v>103</v>
      </c>
      <c r="K24" s="13">
        <f t="shared" ca="1" si="2"/>
        <v>3.4333333333333331</v>
      </c>
      <c r="L24" s="14">
        <f t="shared" ca="1" si="3"/>
        <v>2217.1561348730247</v>
      </c>
      <c r="M24" s="14">
        <f t="shared" si="4"/>
        <v>40.143999999999998</v>
      </c>
      <c r="N24" s="14">
        <f t="shared" ca="1" si="5"/>
        <v>97.168552000000005</v>
      </c>
      <c r="O24" s="20">
        <f t="shared" ca="1" si="6"/>
        <v>2354.4686868730246</v>
      </c>
      <c r="P24" s="22" t="str">
        <f t="shared" ca="1" si="7"/>
        <v>SIM</v>
      </c>
      <c r="Q24" t="b">
        <f t="shared" ca="1" si="8"/>
        <v>1</v>
      </c>
      <c r="R24" t="str">
        <f t="shared" ca="1" si="9"/>
        <v>SIM</v>
      </c>
      <c r="S24" t="str">
        <f t="shared" ca="1" si="10"/>
        <v>SIM</v>
      </c>
    </row>
    <row r="25" spans="1:19">
      <c r="A25" s="7" t="s">
        <v>70</v>
      </c>
      <c r="B25" s="7" t="s">
        <v>71</v>
      </c>
      <c r="C25" s="29" t="s">
        <v>72</v>
      </c>
      <c r="D25" s="28" t="str">
        <f t="shared" si="0"/>
        <v>02/2025</v>
      </c>
      <c r="E25" s="8">
        <v>1294.53</v>
      </c>
      <c r="F25" s="18">
        <v>1.51</v>
      </c>
      <c r="G25" s="9">
        <v>2</v>
      </c>
      <c r="H25" s="10">
        <v>3.0800000000000001E-2</v>
      </c>
      <c r="J25" s="12">
        <f t="shared" ca="1" si="1"/>
        <v>620</v>
      </c>
      <c r="K25" s="13">
        <f t="shared" ca="1" si="2"/>
        <v>20.666666666666668</v>
      </c>
      <c r="L25" s="14">
        <f t="shared" ca="1" si="3"/>
        <v>1764.5253151382394</v>
      </c>
      <c r="M25" s="14">
        <f t="shared" si="4"/>
        <v>25.890599999999999</v>
      </c>
      <c r="N25" s="14">
        <f t="shared" ca="1" si="5"/>
        <v>247.20344880000002</v>
      </c>
      <c r="O25" s="20">
        <f t="shared" ca="1" si="6"/>
        <v>2037.6193639382393</v>
      </c>
      <c r="P25" s="22" t="str">
        <f t="shared" ca="1" si="7"/>
        <v>SIM</v>
      </c>
      <c r="Q25" t="b">
        <f t="shared" ca="1" si="8"/>
        <v>1</v>
      </c>
      <c r="R25" t="str">
        <f t="shared" ca="1" si="9"/>
        <v>SIM</v>
      </c>
      <c r="S25" t="str">
        <f t="shared" ca="1" si="10"/>
        <v>SIM</v>
      </c>
    </row>
    <row r="26" spans="1:19">
      <c r="A26" s="3" t="s">
        <v>73</v>
      </c>
      <c r="B26" s="3" t="s">
        <v>74</v>
      </c>
      <c r="C26" s="28" t="s">
        <v>75</v>
      </c>
      <c r="D26" s="28" t="str">
        <f t="shared" si="0"/>
        <v>08/2025</v>
      </c>
      <c r="E26" s="4">
        <v>687.82</v>
      </c>
      <c r="F26" s="17">
        <v>1.88</v>
      </c>
      <c r="G26" s="5">
        <v>2</v>
      </c>
      <c r="H26" s="6">
        <v>3.4000000000000002E-2</v>
      </c>
      <c r="J26" s="12">
        <f t="shared" ca="1" si="1"/>
        <v>429</v>
      </c>
      <c r="K26" s="13">
        <f t="shared" ca="1" si="2"/>
        <v>14.3</v>
      </c>
      <c r="L26" s="14">
        <f t="shared" ca="1" si="3"/>
        <v>897.73175759192441</v>
      </c>
      <c r="M26" s="14">
        <f t="shared" si="4"/>
        <v>13.756400000000001</v>
      </c>
      <c r="N26" s="14">
        <f t="shared" ca="1" si="5"/>
        <v>100.32542520000001</v>
      </c>
      <c r="O26" s="20">
        <f t="shared" ca="1" si="6"/>
        <v>1011.8135827919244</v>
      </c>
      <c r="P26" s="22" t="str">
        <f t="shared" ca="1" si="7"/>
        <v>SIM</v>
      </c>
      <c r="Q26" t="b">
        <f t="shared" ca="1" si="8"/>
        <v>1</v>
      </c>
      <c r="R26" t="str">
        <f t="shared" ca="1" si="9"/>
        <v>SIM</v>
      </c>
      <c r="S26" t="str">
        <f t="shared" ca="1" si="10"/>
        <v>SIM</v>
      </c>
    </row>
    <row r="27" spans="1:19">
      <c r="A27" s="7" t="s">
        <v>76</v>
      </c>
      <c r="B27" s="7" t="s">
        <v>77</v>
      </c>
      <c r="C27" s="29" t="s">
        <v>78</v>
      </c>
      <c r="D27" s="28" t="str">
        <f t="shared" si="0"/>
        <v>10/2025</v>
      </c>
      <c r="E27" s="8">
        <v>2881.89</v>
      </c>
      <c r="F27" s="18">
        <v>2.39</v>
      </c>
      <c r="G27" s="9">
        <v>2</v>
      </c>
      <c r="H27" s="10">
        <v>3.2800000000000003E-2</v>
      </c>
      <c r="J27" s="12">
        <f t="shared" ca="1" si="1"/>
        <v>390</v>
      </c>
      <c r="K27" s="13">
        <f t="shared" ca="1" si="2"/>
        <v>13</v>
      </c>
      <c r="L27" s="14">
        <f t="shared" ca="1" si="3"/>
        <v>3917.6484229566959</v>
      </c>
      <c r="M27" s="14">
        <f t="shared" si="4"/>
        <v>57.637799999999999</v>
      </c>
      <c r="N27" s="14">
        <f t="shared" ca="1" si="5"/>
        <v>368.6513688</v>
      </c>
      <c r="O27" s="20">
        <f t="shared" ca="1" si="6"/>
        <v>4343.9375917566958</v>
      </c>
      <c r="P27" s="22" t="str">
        <f t="shared" ca="1" si="7"/>
        <v>SIM</v>
      </c>
      <c r="Q27" t="b">
        <f t="shared" ca="1" si="8"/>
        <v>1</v>
      </c>
      <c r="R27" t="str">
        <f t="shared" ca="1" si="9"/>
        <v>SIM</v>
      </c>
      <c r="S27" t="str">
        <f t="shared" ca="1" si="10"/>
        <v>SIM</v>
      </c>
    </row>
    <row r="28" spans="1:19">
      <c r="A28" s="3" t="s">
        <v>79</v>
      </c>
      <c r="B28" s="3" t="s">
        <v>80</v>
      </c>
      <c r="C28" s="28" t="s">
        <v>81</v>
      </c>
      <c r="D28" s="28" t="str">
        <f t="shared" si="0"/>
        <v>09/2025</v>
      </c>
      <c r="E28" s="4">
        <v>2768.23</v>
      </c>
      <c r="F28" s="17">
        <v>1.41</v>
      </c>
      <c r="G28" s="5">
        <v>2</v>
      </c>
      <c r="H28" s="6">
        <v>4.8899999999999999E-2</v>
      </c>
      <c r="J28" s="12">
        <f t="shared" ca="1" si="1"/>
        <v>407</v>
      </c>
      <c r="K28" s="13">
        <f t="shared" ca="1" si="2"/>
        <v>13.566666666666666</v>
      </c>
      <c r="L28" s="14">
        <f t="shared" ca="1" si="3"/>
        <v>3347.3268648537364</v>
      </c>
      <c r="M28" s="14">
        <f t="shared" si="4"/>
        <v>55.364600000000003</v>
      </c>
      <c r="N28" s="14">
        <f t="shared" ca="1" si="5"/>
        <v>550.94143928999995</v>
      </c>
      <c r="O28" s="20">
        <f t="shared" ca="1" si="6"/>
        <v>3953.6329041437361</v>
      </c>
      <c r="P28" s="22" t="str">
        <f t="shared" ca="1" si="7"/>
        <v>SIM</v>
      </c>
      <c r="Q28" t="b">
        <f t="shared" ca="1" si="8"/>
        <v>1</v>
      </c>
      <c r="R28" t="str">
        <f t="shared" ca="1" si="9"/>
        <v>SIM</v>
      </c>
      <c r="S28" t="str">
        <f t="shared" ca="1" si="10"/>
        <v>SIM</v>
      </c>
    </row>
    <row r="29" spans="1:19">
      <c r="A29" s="7" t="s">
        <v>82</v>
      </c>
      <c r="B29" s="7" t="s">
        <v>83</v>
      </c>
      <c r="C29" s="29" t="s">
        <v>84</v>
      </c>
      <c r="D29" s="28" t="str">
        <f t="shared" si="0"/>
        <v>10/2025</v>
      </c>
      <c r="E29" s="8">
        <v>4420.2700000000004</v>
      </c>
      <c r="F29" s="18">
        <v>2.25</v>
      </c>
      <c r="G29" s="9">
        <v>2</v>
      </c>
      <c r="H29" s="10">
        <v>3.5900000000000001E-2</v>
      </c>
      <c r="J29" s="12">
        <f t="shared" ca="1" si="1"/>
        <v>386</v>
      </c>
      <c r="K29" s="13">
        <f t="shared" ca="1" si="2"/>
        <v>12.866666666666667</v>
      </c>
      <c r="L29" s="14">
        <f t="shared" ca="1" si="3"/>
        <v>5885.5014691449769</v>
      </c>
      <c r="M29" s="14">
        <f t="shared" si="4"/>
        <v>88.405400000000014</v>
      </c>
      <c r="N29" s="14">
        <f t="shared" ca="1" si="5"/>
        <v>612.53449498000009</v>
      </c>
      <c r="O29" s="20">
        <f t="shared" ca="1" si="6"/>
        <v>6586.4413641249766</v>
      </c>
      <c r="P29" s="22" t="str">
        <f t="shared" ca="1" si="7"/>
        <v>SIM</v>
      </c>
      <c r="Q29" t="b">
        <f t="shared" ca="1" si="8"/>
        <v>1</v>
      </c>
      <c r="R29" t="str">
        <f t="shared" ca="1" si="9"/>
        <v>SIM</v>
      </c>
      <c r="S29" t="str">
        <f t="shared" ca="1" si="10"/>
        <v>SIM</v>
      </c>
    </row>
    <row r="30" spans="1:19">
      <c r="A30" s="3" t="s">
        <v>85</v>
      </c>
      <c r="B30" s="3" t="s">
        <v>86</v>
      </c>
      <c r="C30" s="28" t="s">
        <v>87</v>
      </c>
      <c r="D30" s="28" t="str">
        <f t="shared" si="0"/>
        <v>02/2025</v>
      </c>
      <c r="E30" s="4">
        <v>1054.8599999999999</v>
      </c>
      <c r="F30" s="17">
        <v>2.79</v>
      </c>
      <c r="G30" s="5">
        <v>2</v>
      </c>
      <c r="H30" s="6">
        <v>4.0800000000000003E-2</v>
      </c>
      <c r="J30" s="12">
        <f t="shared" ca="1" si="1"/>
        <v>611</v>
      </c>
      <c r="K30" s="13">
        <f t="shared" ca="1" si="2"/>
        <v>20.366666666666667</v>
      </c>
      <c r="L30" s="14">
        <f t="shared" ca="1" si="3"/>
        <v>1847.5411907339947</v>
      </c>
      <c r="M30" s="14">
        <f t="shared" si="4"/>
        <v>21.097199999999997</v>
      </c>
      <c r="N30" s="14">
        <f t="shared" ca="1" si="5"/>
        <v>262.96393968000001</v>
      </c>
      <c r="O30" s="20">
        <f t="shared" ca="1" si="6"/>
        <v>2131.6023304139944</v>
      </c>
      <c r="P30" s="22" t="str">
        <f t="shared" ca="1" si="7"/>
        <v>SIM</v>
      </c>
      <c r="Q30" t="b">
        <f t="shared" ca="1" si="8"/>
        <v>1</v>
      </c>
      <c r="R30" t="str">
        <f t="shared" ca="1" si="9"/>
        <v>SIM</v>
      </c>
      <c r="S30" t="str">
        <f t="shared" ca="1" si="10"/>
        <v>SIM</v>
      </c>
    </row>
    <row r="31" spans="1:19">
      <c r="A31" s="7" t="s">
        <v>88</v>
      </c>
      <c r="B31" s="7" t="s">
        <v>89</v>
      </c>
      <c r="C31" s="29" t="s">
        <v>90</v>
      </c>
      <c r="D31" s="28" t="str">
        <f t="shared" si="0"/>
        <v>06/2026</v>
      </c>
      <c r="E31" s="8">
        <v>4496.04</v>
      </c>
      <c r="F31" s="18">
        <v>1.64</v>
      </c>
      <c r="G31" s="9">
        <v>2</v>
      </c>
      <c r="H31" s="10">
        <v>3.2199999999999999E-2</v>
      </c>
      <c r="J31" s="12">
        <f t="shared" ca="1" si="1"/>
        <v>122</v>
      </c>
      <c r="K31" s="13">
        <f t="shared" ca="1" si="2"/>
        <v>4.0666666666666664</v>
      </c>
      <c r="L31" s="14">
        <f t="shared" ca="1" si="3"/>
        <v>4803.5218327627745</v>
      </c>
      <c r="M31" s="14">
        <f t="shared" si="4"/>
        <v>89.9208</v>
      </c>
      <c r="N31" s="14">
        <f t="shared" ca="1" si="5"/>
        <v>176.62243536</v>
      </c>
      <c r="O31" s="20">
        <f t="shared" ca="1" si="6"/>
        <v>5070.0650681227744</v>
      </c>
      <c r="P31" s="22" t="str">
        <f t="shared" ca="1" si="7"/>
        <v>SIM</v>
      </c>
      <c r="Q31" t="b">
        <f t="shared" ca="1" si="8"/>
        <v>1</v>
      </c>
      <c r="R31" t="str">
        <f t="shared" ca="1" si="9"/>
        <v>SIM</v>
      </c>
      <c r="S31" t="str">
        <f t="shared" ca="1" si="10"/>
        <v>SIM</v>
      </c>
    </row>
    <row r="32" spans="1:19">
      <c r="A32" s="3" t="s">
        <v>91</v>
      </c>
      <c r="B32" s="3" t="s">
        <v>92</v>
      </c>
      <c r="C32" s="28" t="s">
        <v>93</v>
      </c>
      <c r="D32" s="28" t="str">
        <f t="shared" si="0"/>
        <v>02/2026</v>
      </c>
      <c r="E32" s="4">
        <v>2221.4699999999998</v>
      </c>
      <c r="F32" s="17">
        <v>2.64</v>
      </c>
      <c r="G32" s="5">
        <v>2</v>
      </c>
      <c r="H32" s="6">
        <v>4.7199999999999999E-2</v>
      </c>
      <c r="J32" s="12">
        <f t="shared" ca="1" si="1"/>
        <v>247</v>
      </c>
      <c r="K32" s="13">
        <f t="shared" ca="1" si="2"/>
        <v>8.2333333333333325</v>
      </c>
      <c r="L32" s="14">
        <f t="shared" ca="1" si="3"/>
        <v>2753.0503215798535</v>
      </c>
      <c r="M32" s="14">
        <f t="shared" si="4"/>
        <v>44.429399999999994</v>
      </c>
      <c r="N32" s="14">
        <f t="shared" ca="1" si="5"/>
        <v>258.98785848</v>
      </c>
      <c r="O32" s="20">
        <f t="shared" ca="1" si="6"/>
        <v>3056.4675800598534</v>
      </c>
      <c r="P32" s="22" t="str">
        <f t="shared" ca="1" si="7"/>
        <v>SIM</v>
      </c>
      <c r="Q32" t="b">
        <f t="shared" ca="1" si="8"/>
        <v>1</v>
      </c>
      <c r="R32" t="str">
        <f t="shared" ca="1" si="9"/>
        <v>SIM</v>
      </c>
      <c r="S32" t="str">
        <f t="shared" ca="1" si="10"/>
        <v>SIM</v>
      </c>
    </row>
    <row r="33" spans="1:19">
      <c r="A33" s="7" t="s">
        <v>94</v>
      </c>
      <c r="B33" s="7" t="s">
        <v>95</v>
      </c>
      <c r="C33" s="29" t="s">
        <v>96</v>
      </c>
      <c r="D33" s="28" t="str">
        <f t="shared" si="0"/>
        <v>01/2026</v>
      </c>
      <c r="E33" s="8">
        <v>2627.12</v>
      </c>
      <c r="F33" s="18">
        <v>1.83</v>
      </c>
      <c r="G33" s="9">
        <v>2</v>
      </c>
      <c r="H33" s="10">
        <v>3.44E-2</v>
      </c>
      <c r="J33" s="12">
        <f t="shared" ca="1" si="1"/>
        <v>286</v>
      </c>
      <c r="K33" s="13">
        <f t="shared" ca="1" si="2"/>
        <v>9.5333333333333332</v>
      </c>
      <c r="L33" s="14">
        <f t="shared" ca="1" si="3"/>
        <v>3122.9282135850508</v>
      </c>
      <c r="M33" s="14">
        <f t="shared" si="4"/>
        <v>52.542400000000001</v>
      </c>
      <c r="N33" s="14">
        <f t="shared" ca="1" si="5"/>
        <v>258.46657407999999</v>
      </c>
      <c r="O33" s="20">
        <f t="shared" ca="1" si="6"/>
        <v>3433.9371876650507</v>
      </c>
      <c r="P33" s="22" t="str">
        <f t="shared" ca="1" si="7"/>
        <v>SIM</v>
      </c>
      <c r="Q33" t="b">
        <f t="shared" ca="1" si="8"/>
        <v>1</v>
      </c>
      <c r="R33" t="str">
        <f t="shared" ca="1" si="9"/>
        <v>SIM</v>
      </c>
      <c r="S33" t="str">
        <f t="shared" ca="1" si="10"/>
        <v>SIM</v>
      </c>
    </row>
    <row r="34" spans="1:19">
      <c r="A34" s="3" t="s">
        <v>97</v>
      </c>
      <c r="B34" s="3" t="s">
        <v>98</v>
      </c>
      <c r="C34" s="28" t="s">
        <v>99</v>
      </c>
      <c r="D34" s="28" t="str">
        <f t="shared" si="0"/>
        <v>09/2025</v>
      </c>
      <c r="E34" s="4">
        <v>1334.01</v>
      </c>
      <c r="F34" s="17">
        <v>1.34</v>
      </c>
      <c r="G34" s="5">
        <v>2</v>
      </c>
      <c r="H34" s="6">
        <v>3.44E-2</v>
      </c>
      <c r="J34" s="12">
        <f t="shared" ca="1" si="1"/>
        <v>405</v>
      </c>
      <c r="K34" s="13">
        <f t="shared" ca="1" si="2"/>
        <v>13.5</v>
      </c>
      <c r="L34" s="14">
        <f t="shared" ca="1" si="3"/>
        <v>1596.6187845776665</v>
      </c>
      <c r="M34" s="14">
        <f t="shared" si="4"/>
        <v>26.680199999999999</v>
      </c>
      <c r="N34" s="14">
        <f t="shared" ca="1" si="5"/>
        <v>185.85427319999999</v>
      </c>
      <c r="O34" s="20">
        <f t="shared" ca="1" si="6"/>
        <v>1809.1532577776666</v>
      </c>
      <c r="P34" s="22" t="str">
        <f t="shared" ca="1" si="7"/>
        <v>SIM</v>
      </c>
      <c r="Q34" t="b">
        <f t="shared" ca="1" si="8"/>
        <v>1</v>
      </c>
      <c r="R34" t="str">
        <f t="shared" ca="1" si="9"/>
        <v>SIM</v>
      </c>
      <c r="S34" t="str">
        <f t="shared" ca="1" si="10"/>
        <v>SIM</v>
      </c>
    </row>
    <row r="35" spans="1:19">
      <c r="A35" s="7" t="s">
        <v>100</v>
      </c>
      <c r="B35" s="7" t="s">
        <v>101</v>
      </c>
      <c r="C35" s="29" t="s">
        <v>102</v>
      </c>
      <c r="D35" s="28" t="str">
        <f t="shared" si="0"/>
        <v>05/2026</v>
      </c>
      <c r="E35" s="8">
        <v>2108.61</v>
      </c>
      <c r="F35" s="18">
        <v>1.1299999999999999</v>
      </c>
      <c r="G35" s="9">
        <v>2</v>
      </c>
      <c r="H35" s="10">
        <v>3.5099999999999999E-2</v>
      </c>
      <c r="J35" s="12">
        <f t="shared" ca="1" si="1"/>
        <v>170</v>
      </c>
      <c r="K35" s="13">
        <f t="shared" ca="1" si="2"/>
        <v>5.666666666666667</v>
      </c>
      <c r="L35" s="14">
        <f t="shared" ca="1" si="3"/>
        <v>2247.2409295371926</v>
      </c>
      <c r="M35" s="14">
        <f t="shared" si="4"/>
        <v>42.172200000000004</v>
      </c>
      <c r="N35" s="14">
        <f t="shared" ca="1" si="5"/>
        <v>125.82075870000001</v>
      </c>
      <c r="O35" s="20">
        <f t="shared" ca="1" si="6"/>
        <v>2415.2338882371928</v>
      </c>
      <c r="P35" s="22" t="str">
        <f t="shared" ca="1" si="7"/>
        <v>SIM</v>
      </c>
      <c r="Q35" t="b">
        <f t="shared" ca="1" si="8"/>
        <v>1</v>
      </c>
      <c r="R35" t="str">
        <f t="shared" ca="1" si="9"/>
        <v>SIM</v>
      </c>
      <c r="S35" t="str">
        <f t="shared" ca="1" si="10"/>
        <v>SIM</v>
      </c>
    </row>
    <row r="36" spans="1:19">
      <c r="A36" s="3" t="s">
        <v>103</v>
      </c>
      <c r="B36" s="3" t="s">
        <v>104</v>
      </c>
      <c r="C36" s="28" t="s">
        <v>105</v>
      </c>
      <c r="D36" s="28" t="str">
        <f t="shared" si="0"/>
        <v>11/2025</v>
      </c>
      <c r="E36" s="4">
        <v>3527.08</v>
      </c>
      <c r="F36" s="17">
        <v>2.42</v>
      </c>
      <c r="G36" s="5">
        <v>2</v>
      </c>
      <c r="H36" s="6">
        <v>3.3000000000000002E-2</v>
      </c>
      <c r="J36" s="12">
        <f t="shared" ca="1" si="1"/>
        <v>353</v>
      </c>
      <c r="K36" s="13">
        <f t="shared" ca="1" si="2"/>
        <v>11.766666666666667</v>
      </c>
      <c r="L36" s="14">
        <f t="shared" ca="1" si="3"/>
        <v>4673.1471332297842</v>
      </c>
      <c r="M36" s="14">
        <f t="shared" si="4"/>
        <v>70.541600000000003</v>
      </c>
      <c r="N36" s="14">
        <f t="shared" ca="1" si="5"/>
        <v>410.86954920000005</v>
      </c>
      <c r="O36" s="20">
        <f t="shared" ca="1" si="6"/>
        <v>5154.5582824297835</v>
      </c>
      <c r="P36" s="22" t="str">
        <f t="shared" ca="1" si="7"/>
        <v>SIM</v>
      </c>
      <c r="Q36" t="b">
        <f t="shared" ca="1" si="8"/>
        <v>1</v>
      </c>
      <c r="R36" t="str">
        <f t="shared" ca="1" si="9"/>
        <v>SIM</v>
      </c>
      <c r="S36" t="str">
        <f t="shared" ca="1" si="10"/>
        <v>SIM</v>
      </c>
    </row>
    <row r="37" spans="1:19">
      <c r="A37" s="7" t="s">
        <v>106</v>
      </c>
      <c r="B37" s="7" t="s">
        <v>107</v>
      </c>
      <c r="C37" s="29" t="s">
        <v>16</v>
      </c>
      <c r="D37" s="28" t="str">
        <f t="shared" si="0"/>
        <v>05/2025</v>
      </c>
      <c r="E37" s="8">
        <v>3106.39</v>
      </c>
      <c r="F37" s="18">
        <v>2.0099999999999998</v>
      </c>
      <c r="G37" s="9">
        <v>2</v>
      </c>
      <c r="H37" s="10">
        <v>3.1E-2</v>
      </c>
      <c r="J37" s="12">
        <f t="shared" ca="1" si="1"/>
        <v>543</v>
      </c>
      <c r="K37" s="13">
        <f t="shared" ca="1" si="2"/>
        <v>18.100000000000001</v>
      </c>
      <c r="L37" s="14">
        <f t="shared" ca="1" si="3"/>
        <v>4453.3795489927779</v>
      </c>
      <c r="M37" s="14">
        <f t="shared" si="4"/>
        <v>62.127800000000001</v>
      </c>
      <c r="N37" s="14">
        <f t="shared" ca="1" si="5"/>
        <v>522.89862870000002</v>
      </c>
      <c r="O37" s="20">
        <f t="shared" ca="1" si="6"/>
        <v>5038.4059776927779</v>
      </c>
      <c r="P37" s="22" t="str">
        <f t="shared" ca="1" si="7"/>
        <v>SIM</v>
      </c>
      <c r="Q37" t="b">
        <f t="shared" ca="1" si="8"/>
        <v>1</v>
      </c>
      <c r="R37" t="str">
        <f t="shared" ca="1" si="9"/>
        <v>SIM</v>
      </c>
      <c r="S37" t="str">
        <f t="shared" ca="1" si="10"/>
        <v>SIM</v>
      </c>
    </row>
    <row r="38" spans="1:19">
      <c r="A38" s="3" t="s">
        <v>108</v>
      </c>
      <c r="B38" s="3" t="s">
        <v>109</v>
      </c>
      <c r="C38" s="28" t="s">
        <v>110</v>
      </c>
      <c r="D38" s="28" t="str">
        <f t="shared" si="0"/>
        <v>08/2025</v>
      </c>
      <c r="E38" s="4">
        <v>1311.88</v>
      </c>
      <c r="F38" s="17">
        <v>1.29</v>
      </c>
      <c r="G38" s="5">
        <v>2</v>
      </c>
      <c r="H38" s="6">
        <v>3.9800000000000002E-2</v>
      </c>
      <c r="J38" s="12">
        <f t="shared" ca="1" si="1"/>
        <v>425</v>
      </c>
      <c r="K38" s="13">
        <f t="shared" ca="1" si="2"/>
        <v>14.166666666666666</v>
      </c>
      <c r="L38" s="14">
        <f t="shared" ca="1" si="3"/>
        <v>1573.0910815628431</v>
      </c>
      <c r="M38" s="14">
        <f t="shared" si="4"/>
        <v>26.2376</v>
      </c>
      <c r="N38" s="14">
        <f t="shared" ca="1" si="5"/>
        <v>221.90450200000001</v>
      </c>
      <c r="O38" s="20">
        <f t="shared" ca="1" si="6"/>
        <v>1821.2331835628431</v>
      </c>
      <c r="P38" s="22" t="str">
        <f t="shared" ca="1" si="7"/>
        <v>SIM</v>
      </c>
      <c r="Q38" t="b">
        <f t="shared" ca="1" si="8"/>
        <v>1</v>
      </c>
      <c r="R38" t="str">
        <f t="shared" ca="1" si="9"/>
        <v>SIM</v>
      </c>
      <c r="S38" t="str">
        <f t="shared" ca="1" si="10"/>
        <v>SIM</v>
      </c>
    </row>
    <row r="39" spans="1:19">
      <c r="A39" s="7" t="s">
        <v>111</v>
      </c>
      <c r="B39" s="7" t="s">
        <v>112</v>
      </c>
      <c r="C39" s="29" t="s">
        <v>113</v>
      </c>
      <c r="D39" s="28" t="str">
        <f t="shared" si="0"/>
        <v>03/2026</v>
      </c>
      <c r="E39" s="8">
        <v>3409.86</v>
      </c>
      <c r="F39" s="18">
        <v>2.52</v>
      </c>
      <c r="G39" s="9">
        <v>2</v>
      </c>
      <c r="H39" s="10">
        <v>3.4799999999999998E-2</v>
      </c>
      <c r="J39" s="12">
        <f t="shared" ca="1" si="1"/>
        <v>212</v>
      </c>
      <c r="K39" s="13">
        <f t="shared" ca="1" si="2"/>
        <v>7.0666666666666664</v>
      </c>
      <c r="L39" s="14">
        <f t="shared" ca="1" si="3"/>
        <v>4065.5312542884103</v>
      </c>
      <c r="M39" s="14">
        <f t="shared" si="4"/>
        <v>68.197200000000009</v>
      </c>
      <c r="N39" s="14">
        <f t="shared" ca="1" si="5"/>
        <v>251.56583136</v>
      </c>
      <c r="O39" s="20">
        <f t="shared" ca="1" si="6"/>
        <v>4385.2942856484096</v>
      </c>
      <c r="P39" s="22" t="str">
        <f t="shared" ca="1" si="7"/>
        <v>SIM</v>
      </c>
      <c r="Q39" t="b">
        <f t="shared" ca="1" si="8"/>
        <v>1</v>
      </c>
      <c r="R39" t="str">
        <f t="shared" ca="1" si="9"/>
        <v>SIM</v>
      </c>
      <c r="S39" t="str">
        <f t="shared" ca="1" si="10"/>
        <v>SIM</v>
      </c>
    </row>
    <row r="40" spans="1:19">
      <c r="A40" s="3" t="s">
        <v>114</v>
      </c>
      <c r="B40" s="3" t="s">
        <v>115</v>
      </c>
      <c r="C40" s="28" t="s">
        <v>116</v>
      </c>
      <c r="D40" s="28" t="str">
        <f t="shared" si="0"/>
        <v>11/2025</v>
      </c>
      <c r="E40" s="4">
        <v>2430.96</v>
      </c>
      <c r="F40" s="17">
        <v>2.97</v>
      </c>
      <c r="G40" s="5">
        <v>2</v>
      </c>
      <c r="H40" s="6">
        <v>3.7999999999999999E-2</v>
      </c>
      <c r="J40" s="12">
        <f t="shared" ca="1" si="1"/>
        <v>333</v>
      </c>
      <c r="K40" s="13">
        <f t="shared" ca="1" si="2"/>
        <v>11.1</v>
      </c>
      <c r="L40" s="14">
        <f t="shared" ca="1" si="3"/>
        <v>3364.0831699002219</v>
      </c>
      <c r="M40" s="14">
        <f t="shared" si="4"/>
        <v>48.619199999999999</v>
      </c>
      <c r="N40" s="14">
        <f t="shared" ca="1" si="5"/>
        <v>307.61367840000003</v>
      </c>
      <c r="O40" s="20">
        <f t="shared" ca="1" si="6"/>
        <v>3720.3160483002221</v>
      </c>
      <c r="P40" s="22" t="str">
        <f t="shared" ca="1" si="7"/>
        <v>SIM</v>
      </c>
      <c r="Q40" t="b">
        <f t="shared" ca="1" si="8"/>
        <v>1</v>
      </c>
      <c r="R40" t="str">
        <f t="shared" ca="1" si="9"/>
        <v>SIM</v>
      </c>
      <c r="S40" t="str">
        <f t="shared" ca="1" si="10"/>
        <v>SIM</v>
      </c>
    </row>
    <row r="41" spans="1:19">
      <c r="A41" s="7" t="s">
        <v>117</v>
      </c>
      <c r="B41" s="7" t="s">
        <v>63</v>
      </c>
      <c r="C41" s="29" t="s">
        <v>118</v>
      </c>
      <c r="D41" s="28" t="str">
        <f t="shared" si="0"/>
        <v>06/2026</v>
      </c>
      <c r="E41" s="8">
        <v>4021.97</v>
      </c>
      <c r="F41" s="18">
        <v>1.3</v>
      </c>
      <c r="G41" s="9">
        <v>2</v>
      </c>
      <c r="H41" s="10">
        <v>4.02E-2</v>
      </c>
      <c r="J41" s="12">
        <f t="shared" ca="1" si="1"/>
        <v>124</v>
      </c>
      <c r="K41" s="13">
        <f t="shared" ca="1" si="2"/>
        <v>4.1333333333333337</v>
      </c>
      <c r="L41" s="14">
        <f t="shared" ca="1" si="3"/>
        <v>4242.5262130283027</v>
      </c>
      <c r="M41" s="14">
        <f t="shared" si="4"/>
        <v>80.439399999999992</v>
      </c>
      <c r="N41" s="14">
        <f t="shared" ca="1" si="5"/>
        <v>200.48716056000001</v>
      </c>
      <c r="O41" s="20">
        <f t="shared" ca="1" si="6"/>
        <v>4523.452773588303</v>
      </c>
      <c r="P41" s="22" t="str">
        <f t="shared" ca="1" si="7"/>
        <v>SIM</v>
      </c>
      <c r="Q41" t="b">
        <f t="shared" ca="1" si="8"/>
        <v>1</v>
      </c>
      <c r="R41" t="str">
        <f t="shared" ca="1" si="9"/>
        <v>SIM</v>
      </c>
      <c r="S41" t="str">
        <f t="shared" ca="1" si="10"/>
        <v>SIM</v>
      </c>
    </row>
    <row r="42" spans="1:19">
      <c r="A42" s="3" t="s">
        <v>119</v>
      </c>
      <c r="B42" s="3" t="s">
        <v>120</v>
      </c>
      <c r="C42" s="28" t="s">
        <v>121</v>
      </c>
      <c r="D42" s="28" t="str">
        <f t="shared" si="0"/>
        <v>05/2026</v>
      </c>
      <c r="E42" s="4">
        <v>4313.04</v>
      </c>
      <c r="F42" s="17">
        <v>1.65</v>
      </c>
      <c r="G42" s="5">
        <v>2</v>
      </c>
      <c r="H42" s="6">
        <v>3.44E-2</v>
      </c>
      <c r="J42" s="12">
        <f t="shared" ca="1" si="1"/>
        <v>158</v>
      </c>
      <c r="K42" s="13">
        <f t="shared" ca="1" si="2"/>
        <v>5.2666666666666666</v>
      </c>
      <c r="L42" s="14">
        <f t="shared" ca="1" si="3"/>
        <v>4701.2755088714366</v>
      </c>
      <c r="M42" s="14">
        <f t="shared" si="4"/>
        <v>86.260800000000003</v>
      </c>
      <c r="N42" s="14">
        <f t="shared" ca="1" si="5"/>
        <v>234.42235008</v>
      </c>
      <c r="O42" s="20">
        <f t="shared" ca="1" si="6"/>
        <v>5021.9586589514365</v>
      </c>
      <c r="P42" s="22" t="str">
        <f t="shared" ca="1" si="7"/>
        <v>SIM</v>
      </c>
      <c r="Q42" t="b">
        <f t="shared" ca="1" si="8"/>
        <v>1</v>
      </c>
      <c r="R42" t="str">
        <f t="shared" ca="1" si="9"/>
        <v>SIM</v>
      </c>
      <c r="S42" t="str">
        <f t="shared" ca="1" si="10"/>
        <v>SIM</v>
      </c>
    </row>
    <row r="43" spans="1:19">
      <c r="A43" s="7" t="s">
        <v>122</v>
      </c>
      <c r="B43" s="7" t="s">
        <v>123</v>
      </c>
      <c r="C43" s="29" t="s">
        <v>124</v>
      </c>
      <c r="D43" s="28" t="str">
        <f t="shared" si="0"/>
        <v>12/2025</v>
      </c>
      <c r="E43" s="8">
        <v>4076.08</v>
      </c>
      <c r="F43" s="18">
        <v>1.7</v>
      </c>
      <c r="G43" s="9">
        <v>2</v>
      </c>
      <c r="H43" s="10">
        <v>3.1899999999999998E-2</v>
      </c>
      <c r="J43" s="12">
        <f t="shared" ca="1" si="1"/>
        <v>302</v>
      </c>
      <c r="K43" s="13">
        <f t="shared" ca="1" si="2"/>
        <v>10.066666666666666</v>
      </c>
      <c r="L43" s="14">
        <f t="shared" ca="1" si="3"/>
        <v>4829.9239428661849</v>
      </c>
      <c r="M43" s="14">
        <f t="shared" si="4"/>
        <v>81.521599999999992</v>
      </c>
      <c r="N43" s="14">
        <f t="shared" ca="1" si="5"/>
        <v>392.68139503999993</v>
      </c>
      <c r="O43" s="20">
        <f t="shared" ca="1" si="6"/>
        <v>5304.126937906185</v>
      </c>
      <c r="P43" s="22" t="str">
        <f t="shared" ca="1" si="7"/>
        <v>SIM</v>
      </c>
      <c r="Q43" t="b">
        <f t="shared" ca="1" si="8"/>
        <v>1</v>
      </c>
      <c r="R43" t="str">
        <f t="shared" ca="1" si="9"/>
        <v>SIM</v>
      </c>
      <c r="S43" t="str">
        <f t="shared" ca="1" si="10"/>
        <v>SIM</v>
      </c>
    </row>
    <row r="44" spans="1:19">
      <c r="A44" s="3" t="s">
        <v>125</v>
      </c>
      <c r="B44" s="3" t="s">
        <v>126</v>
      </c>
      <c r="C44" s="28" t="s">
        <v>127</v>
      </c>
      <c r="D44" s="28" t="str">
        <f t="shared" si="0"/>
        <v>05/2026</v>
      </c>
      <c r="E44" s="4">
        <v>2078.2199999999998</v>
      </c>
      <c r="F44" s="17">
        <v>2.04</v>
      </c>
      <c r="G44" s="5">
        <v>2</v>
      </c>
      <c r="H44" s="6">
        <v>4.6800000000000001E-2</v>
      </c>
      <c r="J44" s="12">
        <f t="shared" ca="1" si="1"/>
        <v>161</v>
      </c>
      <c r="K44" s="13">
        <f t="shared" ca="1" si="2"/>
        <v>5.3666666666666663</v>
      </c>
      <c r="L44" s="14">
        <f t="shared" ca="1" si="3"/>
        <v>2316.1122379890185</v>
      </c>
      <c r="M44" s="14">
        <f t="shared" si="4"/>
        <v>41.564399999999999</v>
      </c>
      <c r="N44" s="14">
        <f t="shared" ca="1" si="5"/>
        <v>156.58972055999999</v>
      </c>
      <c r="O44" s="20">
        <f t="shared" ca="1" si="6"/>
        <v>2514.2663585490186</v>
      </c>
      <c r="P44" s="22" t="str">
        <f t="shared" ca="1" si="7"/>
        <v>SIM</v>
      </c>
      <c r="Q44" t="b">
        <f t="shared" ca="1" si="8"/>
        <v>1</v>
      </c>
      <c r="R44" t="str">
        <f t="shared" ca="1" si="9"/>
        <v>SIM</v>
      </c>
      <c r="S44" t="str">
        <f t="shared" ca="1" si="10"/>
        <v>SIM</v>
      </c>
    </row>
    <row r="45" spans="1:19">
      <c r="A45" s="7" t="s">
        <v>128</v>
      </c>
      <c r="B45" s="7" t="s">
        <v>129</v>
      </c>
      <c r="C45" s="29" t="s">
        <v>130</v>
      </c>
      <c r="D45" s="28" t="str">
        <f t="shared" si="0"/>
        <v>05/2026</v>
      </c>
      <c r="E45" s="8">
        <v>4634.76</v>
      </c>
      <c r="F45" s="18">
        <v>2.75</v>
      </c>
      <c r="G45" s="9">
        <v>2</v>
      </c>
      <c r="H45" s="10">
        <v>3.5200000000000002E-2</v>
      </c>
      <c r="J45" s="12">
        <f t="shared" ca="1" si="1"/>
        <v>160</v>
      </c>
      <c r="K45" s="13">
        <f t="shared" ca="1" si="2"/>
        <v>5.333333333333333</v>
      </c>
      <c r="L45" s="14">
        <f t="shared" ca="1" si="3"/>
        <v>5356.2850323926159</v>
      </c>
      <c r="M45" s="14">
        <f t="shared" si="4"/>
        <v>92.6952</v>
      </c>
      <c r="N45" s="14">
        <f t="shared" ca="1" si="5"/>
        <v>261.02968320000008</v>
      </c>
      <c r="O45" s="20">
        <f t="shared" ca="1" si="6"/>
        <v>5710.0099155926164</v>
      </c>
      <c r="P45" s="22" t="str">
        <f t="shared" ca="1" si="7"/>
        <v>SIM</v>
      </c>
      <c r="Q45" t="b">
        <f t="shared" ca="1" si="8"/>
        <v>1</v>
      </c>
      <c r="R45" t="str">
        <f t="shared" ca="1" si="9"/>
        <v>SIM</v>
      </c>
      <c r="S45" t="str">
        <f t="shared" ca="1" si="10"/>
        <v>SIM</v>
      </c>
    </row>
    <row r="46" spans="1:19">
      <c r="A46" s="3" t="s">
        <v>131</v>
      </c>
      <c r="B46" s="3" t="s">
        <v>132</v>
      </c>
      <c r="C46" s="28" t="s">
        <v>133</v>
      </c>
      <c r="D46" s="28" t="str">
        <f t="shared" si="0"/>
        <v>07/2025</v>
      </c>
      <c r="E46" s="4">
        <v>4913.5200000000004</v>
      </c>
      <c r="F46" s="17">
        <v>2.0299999999999998</v>
      </c>
      <c r="G46" s="5">
        <v>2</v>
      </c>
      <c r="H46" s="6">
        <v>3.5200000000000002E-2</v>
      </c>
      <c r="J46" s="12">
        <f t="shared" ca="1" si="1"/>
        <v>481</v>
      </c>
      <c r="K46" s="13">
        <f t="shared" ca="1" si="2"/>
        <v>16.033333333333335</v>
      </c>
      <c r="L46" s="14">
        <f t="shared" ca="1" si="3"/>
        <v>6781.5636789383698</v>
      </c>
      <c r="M46" s="14">
        <f t="shared" si="4"/>
        <v>98.270400000000009</v>
      </c>
      <c r="N46" s="14">
        <f t="shared" ca="1" si="5"/>
        <v>831.91789824000011</v>
      </c>
      <c r="O46" s="20">
        <f t="shared" ca="1" si="6"/>
        <v>7711.75197717837</v>
      </c>
      <c r="P46" s="22" t="str">
        <f t="shared" ca="1" si="7"/>
        <v>SIM</v>
      </c>
      <c r="Q46" t="b">
        <f t="shared" ca="1" si="8"/>
        <v>1</v>
      </c>
      <c r="R46" t="str">
        <f t="shared" ca="1" si="9"/>
        <v>SIM</v>
      </c>
      <c r="S46" t="str">
        <f t="shared" ca="1" si="10"/>
        <v>SIM</v>
      </c>
    </row>
    <row r="47" spans="1:19">
      <c r="A47" s="7" t="s">
        <v>134</v>
      </c>
      <c r="B47" s="7" t="s">
        <v>135</v>
      </c>
      <c r="C47" s="29" t="s">
        <v>136</v>
      </c>
      <c r="D47" s="28" t="str">
        <f t="shared" si="0"/>
        <v>12/2025</v>
      </c>
      <c r="E47" s="8">
        <v>4501.5</v>
      </c>
      <c r="F47" s="18">
        <v>2.8</v>
      </c>
      <c r="G47" s="9">
        <v>2</v>
      </c>
      <c r="H47" s="10">
        <v>4.2700000000000002E-2</v>
      </c>
      <c r="J47" s="12">
        <f t="shared" ca="1" si="1"/>
        <v>317</v>
      </c>
      <c r="K47" s="13">
        <f t="shared" ca="1" si="2"/>
        <v>10.566666666666666</v>
      </c>
      <c r="L47" s="14">
        <f t="shared" ca="1" si="3"/>
        <v>6026.7683569913352</v>
      </c>
      <c r="M47" s="14">
        <f t="shared" si="4"/>
        <v>90.03</v>
      </c>
      <c r="N47" s="14">
        <f t="shared" ca="1" si="5"/>
        <v>609.31853850000005</v>
      </c>
      <c r="O47" s="20">
        <f t="shared" ca="1" si="6"/>
        <v>6726.1168954913346</v>
      </c>
      <c r="P47" s="22" t="str">
        <f t="shared" ca="1" si="7"/>
        <v>SIM</v>
      </c>
      <c r="Q47" t="b">
        <f t="shared" ca="1" si="8"/>
        <v>1</v>
      </c>
      <c r="R47" t="str">
        <f t="shared" ca="1" si="9"/>
        <v>SIM</v>
      </c>
      <c r="S47" t="str">
        <f t="shared" ca="1" si="10"/>
        <v>SIM</v>
      </c>
    </row>
    <row r="48" spans="1:19">
      <c r="A48" s="3" t="s">
        <v>137</v>
      </c>
      <c r="B48" s="3" t="s">
        <v>138</v>
      </c>
      <c r="C48" s="28" t="s">
        <v>139</v>
      </c>
      <c r="D48" s="28" t="str">
        <f t="shared" si="0"/>
        <v>02/2025</v>
      </c>
      <c r="E48" s="4">
        <v>1843.67</v>
      </c>
      <c r="F48" s="17">
        <v>2.4500000000000002</v>
      </c>
      <c r="G48" s="5">
        <v>2</v>
      </c>
      <c r="H48" s="6">
        <v>4.7899999999999998E-2</v>
      </c>
      <c r="J48" s="12">
        <f t="shared" ca="1" si="1"/>
        <v>633</v>
      </c>
      <c r="K48" s="13">
        <f t="shared" ca="1" si="2"/>
        <v>21.1</v>
      </c>
      <c r="L48" s="14">
        <f t="shared" ca="1" si="3"/>
        <v>3072.4555086138394</v>
      </c>
      <c r="M48" s="14">
        <f t="shared" si="4"/>
        <v>36.873400000000004</v>
      </c>
      <c r="N48" s="14">
        <f t="shared" ca="1" si="5"/>
        <v>559.01364968999997</v>
      </c>
      <c r="O48" s="20">
        <f t="shared" ca="1" si="6"/>
        <v>3668.3425583038393</v>
      </c>
      <c r="P48" s="22" t="str">
        <f t="shared" ca="1" si="7"/>
        <v>SIM</v>
      </c>
      <c r="Q48" t="b">
        <f t="shared" ca="1" si="8"/>
        <v>1</v>
      </c>
      <c r="R48" t="str">
        <f t="shared" ca="1" si="9"/>
        <v>SIM</v>
      </c>
      <c r="S48" t="str">
        <f t="shared" ca="1" si="10"/>
        <v>SIM</v>
      </c>
    </row>
    <row r="49" spans="1:19">
      <c r="A49" s="7" t="s">
        <v>140</v>
      </c>
      <c r="B49" s="7" t="s">
        <v>141</v>
      </c>
      <c r="C49" s="29" t="s">
        <v>142</v>
      </c>
      <c r="D49" s="28" t="str">
        <f t="shared" si="0"/>
        <v>07/2025</v>
      </c>
      <c r="E49" s="8">
        <v>3932.4</v>
      </c>
      <c r="F49" s="18">
        <v>2.2799999999999998</v>
      </c>
      <c r="G49" s="9">
        <v>2</v>
      </c>
      <c r="H49" s="10">
        <v>3.1699999999999999E-2</v>
      </c>
      <c r="J49" s="12">
        <f t="shared" ca="1" si="1"/>
        <v>477</v>
      </c>
      <c r="K49" s="13">
        <f t="shared" ca="1" si="2"/>
        <v>15.9</v>
      </c>
      <c r="L49" s="14">
        <f t="shared" ca="1" si="3"/>
        <v>5627.6894655076449</v>
      </c>
      <c r="M49" s="14">
        <f t="shared" si="4"/>
        <v>78.647999999999996</v>
      </c>
      <c r="N49" s="14">
        <f t="shared" ca="1" si="5"/>
        <v>594.61427159999994</v>
      </c>
      <c r="O49" s="20">
        <f t="shared" ca="1" si="6"/>
        <v>6300.9517371076454</v>
      </c>
      <c r="P49" s="22" t="str">
        <f t="shared" ca="1" si="7"/>
        <v>SIM</v>
      </c>
      <c r="Q49" t="b">
        <f t="shared" ca="1" si="8"/>
        <v>1</v>
      </c>
      <c r="R49" t="str">
        <f t="shared" ca="1" si="9"/>
        <v>SIM</v>
      </c>
      <c r="S49" t="str">
        <f t="shared" ca="1" si="10"/>
        <v>SIM</v>
      </c>
    </row>
    <row r="50" spans="1:19">
      <c r="A50" s="3" t="s">
        <v>143</v>
      </c>
      <c r="B50" s="3" t="s">
        <v>144</v>
      </c>
      <c r="C50" s="28" t="s">
        <v>145</v>
      </c>
      <c r="D50" s="28" t="str">
        <f t="shared" si="0"/>
        <v>03/2026</v>
      </c>
      <c r="E50" s="4">
        <v>3394.59</v>
      </c>
      <c r="F50" s="17">
        <v>2.16</v>
      </c>
      <c r="G50" s="5">
        <v>2</v>
      </c>
      <c r="H50" s="6">
        <v>3.7400000000000003E-2</v>
      </c>
      <c r="J50" s="12">
        <f t="shared" ca="1" si="1"/>
        <v>225</v>
      </c>
      <c r="K50" s="13">
        <f t="shared" ca="1" si="2"/>
        <v>7.5</v>
      </c>
      <c r="L50" s="14">
        <f t="shared" ca="1" si="3"/>
        <v>3984.6846741064237</v>
      </c>
      <c r="M50" s="14">
        <f t="shared" si="4"/>
        <v>67.891800000000003</v>
      </c>
      <c r="N50" s="14">
        <f t="shared" ca="1" si="5"/>
        <v>285.65474850000004</v>
      </c>
      <c r="O50" s="20">
        <f t="shared" ca="1" si="6"/>
        <v>4338.2312226064232</v>
      </c>
      <c r="P50" s="22" t="str">
        <f t="shared" ca="1" si="7"/>
        <v>SIM</v>
      </c>
      <c r="Q50" t="b">
        <f t="shared" ca="1" si="8"/>
        <v>1</v>
      </c>
      <c r="R50" t="str">
        <f t="shared" ca="1" si="9"/>
        <v>SIM</v>
      </c>
      <c r="S50" t="str">
        <f t="shared" ca="1" si="10"/>
        <v>SIM</v>
      </c>
    </row>
    <row r="51" spans="1:19">
      <c r="A51" s="7" t="s">
        <v>146</v>
      </c>
      <c r="B51" s="7" t="s">
        <v>129</v>
      </c>
      <c r="C51" s="29" t="s">
        <v>62</v>
      </c>
      <c r="D51" s="28" t="str">
        <f t="shared" si="0"/>
        <v>05/2026</v>
      </c>
      <c r="E51" s="8">
        <v>4872.2700000000004</v>
      </c>
      <c r="F51" s="18">
        <v>1.57</v>
      </c>
      <c r="G51" s="9">
        <v>2</v>
      </c>
      <c r="H51" s="10">
        <v>3.61E-2</v>
      </c>
      <c r="J51" s="12">
        <f t="shared" ca="1" si="1"/>
        <v>175</v>
      </c>
      <c r="K51" s="13">
        <f t="shared" ca="1" si="2"/>
        <v>5.833333333333333</v>
      </c>
      <c r="L51" s="14">
        <f t="shared" ca="1" si="3"/>
        <v>5335.762448865642</v>
      </c>
      <c r="M51" s="14">
        <f t="shared" si="4"/>
        <v>97.445400000000006</v>
      </c>
      <c r="N51" s="14">
        <f t="shared" ca="1" si="5"/>
        <v>307.80565725000008</v>
      </c>
      <c r="O51" s="20">
        <f t="shared" ca="1" si="6"/>
        <v>5741.0135061156416</v>
      </c>
      <c r="P51" s="22" t="str">
        <f t="shared" ca="1" si="7"/>
        <v>SIM</v>
      </c>
      <c r="Q51" t="b">
        <f t="shared" ca="1" si="8"/>
        <v>1</v>
      </c>
      <c r="R51" t="str">
        <f t="shared" ca="1" si="9"/>
        <v>SIM</v>
      </c>
      <c r="S51" t="str">
        <f t="shared" ca="1" si="10"/>
        <v>SIM</v>
      </c>
    </row>
    <row r="52" spans="1:19">
      <c r="A52" s="3" t="s">
        <v>147</v>
      </c>
      <c r="B52" s="3" t="s">
        <v>148</v>
      </c>
      <c r="C52" s="28" t="s">
        <v>149</v>
      </c>
      <c r="D52" s="28" t="str">
        <f t="shared" si="0"/>
        <v>07/2025</v>
      </c>
      <c r="E52" s="4">
        <v>4973.12</v>
      </c>
      <c r="F52" s="17">
        <v>1.35</v>
      </c>
      <c r="G52" s="5">
        <v>2</v>
      </c>
      <c r="H52" s="6">
        <v>3.04E-2</v>
      </c>
      <c r="J52" s="12">
        <f t="shared" ca="1" si="1"/>
        <v>472</v>
      </c>
      <c r="K52" s="13">
        <f t="shared" ca="1" si="2"/>
        <v>15.733333333333333</v>
      </c>
      <c r="L52" s="14">
        <f t="shared" ca="1" si="3"/>
        <v>6141.2388185979917</v>
      </c>
      <c r="M52" s="14">
        <f t="shared" si="4"/>
        <v>99.462400000000002</v>
      </c>
      <c r="N52" s="14">
        <f t="shared" ca="1" si="5"/>
        <v>713.58304256000008</v>
      </c>
      <c r="O52" s="20">
        <f t="shared" ca="1" si="6"/>
        <v>6954.2842611579918</v>
      </c>
      <c r="P52" s="22" t="str">
        <f t="shared" ca="1" si="7"/>
        <v>SIM</v>
      </c>
      <c r="Q52" t="b">
        <f t="shared" ca="1" si="8"/>
        <v>1</v>
      </c>
      <c r="R52" t="str">
        <f t="shared" ca="1" si="9"/>
        <v>SIM</v>
      </c>
      <c r="S52" t="str">
        <f t="shared" ca="1" si="10"/>
        <v>SIM</v>
      </c>
    </row>
    <row r="53" spans="1:19">
      <c r="A53" s="7" t="s">
        <v>150</v>
      </c>
      <c r="B53" s="7" t="s">
        <v>151</v>
      </c>
      <c r="C53" s="29" t="s">
        <v>152</v>
      </c>
      <c r="D53" s="28" t="str">
        <f t="shared" si="0"/>
        <v>03/2026</v>
      </c>
      <c r="E53" s="8">
        <v>1017.29</v>
      </c>
      <c r="F53" s="18">
        <v>1.73</v>
      </c>
      <c r="G53" s="9">
        <v>2</v>
      </c>
      <c r="H53" s="10">
        <v>4.4900000000000002E-2</v>
      </c>
      <c r="J53" s="12">
        <f t="shared" ca="1" si="1"/>
        <v>232</v>
      </c>
      <c r="K53" s="13">
        <f t="shared" ca="1" si="2"/>
        <v>7.7333333333333334</v>
      </c>
      <c r="L53" s="14">
        <f t="shared" ca="1" si="3"/>
        <v>1161.5842626662027</v>
      </c>
      <c r="M53" s="14">
        <f t="shared" si="4"/>
        <v>20.345800000000001</v>
      </c>
      <c r="N53" s="14">
        <f t="shared" ca="1" si="5"/>
        <v>105.96906472000001</v>
      </c>
      <c r="O53" s="20">
        <f t="shared" ca="1" si="6"/>
        <v>1287.8991273862027</v>
      </c>
      <c r="P53" s="22" t="str">
        <f t="shared" ca="1" si="7"/>
        <v>SIM</v>
      </c>
      <c r="Q53" t="b">
        <f t="shared" ca="1" si="8"/>
        <v>1</v>
      </c>
      <c r="R53" t="str">
        <f t="shared" ca="1" si="9"/>
        <v>SIM</v>
      </c>
      <c r="S53" t="str">
        <f t="shared" ca="1" si="10"/>
        <v>SIM</v>
      </c>
    </row>
    <row r="54" spans="1:19">
      <c r="A54" s="3" t="s">
        <v>153</v>
      </c>
      <c r="B54" s="3" t="s">
        <v>154</v>
      </c>
      <c r="C54" s="28" t="s">
        <v>155</v>
      </c>
      <c r="D54" s="28" t="str">
        <f t="shared" si="0"/>
        <v>08/2025</v>
      </c>
      <c r="E54" s="4">
        <v>1644.09</v>
      </c>
      <c r="F54" s="17">
        <v>2.09</v>
      </c>
      <c r="G54" s="5">
        <v>2</v>
      </c>
      <c r="H54" s="6">
        <v>4.02E-2</v>
      </c>
      <c r="J54" s="12">
        <f t="shared" ca="1" si="1"/>
        <v>439</v>
      </c>
      <c r="K54" s="13">
        <f t="shared" ca="1" si="2"/>
        <v>14.633333333333333</v>
      </c>
      <c r="L54" s="14">
        <f t="shared" ca="1" si="3"/>
        <v>2225.2550926966337</v>
      </c>
      <c r="M54" s="14">
        <f t="shared" si="4"/>
        <v>32.881799999999998</v>
      </c>
      <c r="N54" s="14">
        <f t="shared" ca="1" si="5"/>
        <v>290.14571502000001</v>
      </c>
      <c r="O54" s="20">
        <f t="shared" ca="1" si="6"/>
        <v>2548.2826077166337</v>
      </c>
      <c r="P54" s="22" t="str">
        <f t="shared" ca="1" si="7"/>
        <v>SIM</v>
      </c>
      <c r="Q54" t="b">
        <f t="shared" ca="1" si="8"/>
        <v>1</v>
      </c>
      <c r="R54" t="str">
        <f t="shared" ca="1" si="9"/>
        <v>SIM</v>
      </c>
      <c r="S54" t="str">
        <f t="shared" ca="1" si="10"/>
        <v>SIM</v>
      </c>
    </row>
    <row r="55" spans="1:19">
      <c r="A55" s="7" t="s">
        <v>156</v>
      </c>
      <c r="B55" s="7" t="s">
        <v>157</v>
      </c>
      <c r="C55" s="29" t="s">
        <v>121</v>
      </c>
      <c r="D55" s="28" t="str">
        <f t="shared" si="0"/>
        <v>05/2026</v>
      </c>
      <c r="E55" s="8">
        <v>1364.74</v>
      </c>
      <c r="F55" s="18">
        <v>2.1800000000000002</v>
      </c>
      <c r="G55" s="9">
        <v>2</v>
      </c>
      <c r="H55" s="10">
        <v>4.9599999999999998E-2</v>
      </c>
      <c r="J55" s="12">
        <f t="shared" ca="1" si="1"/>
        <v>158</v>
      </c>
      <c r="K55" s="13">
        <f t="shared" ca="1" si="2"/>
        <v>5.2666666666666666</v>
      </c>
      <c r="L55" s="14">
        <f t="shared" ca="1" si="3"/>
        <v>1528.8926236906377</v>
      </c>
      <c r="M55" s="14">
        <f t="shared" si="4"/>
        <v>27.294799999999999</v>
      </c>
      <c r="N55" s="14">
        <f t="shared" ca="1" si="5"/>
        <v>106.95194431999998</v>
      </c>
      <c r="O55" s="20">
        <f t="shared" ca="1" si="6"/>
        <v>1663.1393680106376</v>
      </c>
      <c r="P55" s="22" t="str">
        <f t="shared" ca="1" si="7"/>
        <v>SIM</v>
      </c>
      <c r="Q55" t="b">
        <f t="shared" ca="1" si="8"/>
        <v>1</v>
      </c>
      <c r="R55" t="str">
        <f t="shared" ca="1" si="9"/>
        <v>SIM</v>
      </c>
      <c r="S55" t="str">
        <f t="shared" ca="1" si="10"/>
        <v>SIM</v>
      </c>
    </row>
    <row r="56" spans="1:19">
      <c r="A56" s="3" t="s">
        <v>158</v>
      </c>
      <c r="B56" s="3" t="s">
        <v>27</v>
      </c>
      <c r="C56" s="28" t="s">
        <v>159</v>
      </c>
      <c r="D56" s="28" t="str">
        <f t="shared" si="0"/>
        <v>08/2026</v>
      </c>
      <c r="E56" s="4">
        <v>4544.58</v>
      </c>
      <c r="F56" s="17">
        <v>1.87</v>
      </c>
      <c r="G56" s="5">
        <v>2</v>
      </c>
      <c r="H56" s="6">
        <v>3.6999999999999998E-2</v>
      </c>
      <c r="J56" s="12">
        <f t="shared" ca="1" si="1"/>
        <v>66</v>
      </c>
      <c r="K56" s="13">
        <f t="shared" ca="1" si="2"/>
        <v>2.2000000000000002</v>
      </c>
      <c r="L56" s="14">
        <f t="shared" ca="1" si="3"/>
        <v>4733.6443629803161</v>
      </c>
      <c r="M56" s="14">
        <f t="shared" si="4"/>
        <v>90.891599999999997</v>
      </c>
      <c r="N56" s="14">
        <f t="shared" ca="1" si="5"/>
        <v>110.97864359999998</v>
      </c>
      <c r="O56" s="20">
        <f t="shared" ca="1" si="6"/>
        <v>4935.5146065803165</v>
      </c>
      <c r="P56" s="22" t="str">
        <f t="shared" ca="1" si="7"/>
        <v>NÃO</v>
      </c>
      <c r="Q56" t="b">
        <f t="shared" ca="1" si="8"/>
        <v>1</v>
      </c>
      <c r="R56" t="str">
        <f t="shared" ca="1" si="9"/>
        <v>NÃO</v>
      </c>
      <c r="S56" t="str">
        <f t="shared" ca="1" si="10"/>
        <v>NÃO</v>
      </c>
    </row>
    <row r="57" spans="1:19">
      <c r="A57" s="7" t="s">
        <v>160</v>
      </c>
      <c r="B57" s="7" t="s">
        <v>161</v>
      </c>
      <c r="C57" s="29" t="s">
        <v>162</v>
      </c>
      <c r="D57" s="28" t="str">
        <f t="shared" si="0"/>
        <v>10/2026</v>
      </c>
      <c r="E57" s="8">
        <v>3394.28</v>
      </c>
      <c r="F57" s="18">
        <v>2.73</v>
      </c>
      <c r="G57" s="9">
        <v>2</v>
      </c>
      <c r="H57" s="10">
        <v>3.4599999999999999E-2</v>
      </c>
      <c r="J57" s="12">
        <f t="shared" ca="1" si="1"/>
        <v>14</v>
      </c>
      <c r="K57" s="13">
        <f t="shared" ca="1" si="2"/>
        <v>0.46666666666666667</v>
      </c>
      <c r="L57" s="14">
        <f t="shared" ca="1" si="3"/>
        <v>3437.2126353691074</v>
      </c>
      <c r="M57" s="14">
        <f t="shared" si="4"/>
        <v>67.885600000000011</v>
      </c>
      <c r="N57" s="14">
        <f t="shared" ca="1" si="5"/>
        <v>16.441892320000001</v>
      </c>
      <c r="O57" s="20">
        <f t="shared" ca="1" si="6"/>
        <v>3521.5401276891075</v>
      </c>
      <c r="P57" s="22" t="str">
        <f t="shared" ca="1" si="7"/>
        <v>NÃO</v>
      </c>
      <c r="Q57" t="b">
        <f t="shared" ca="1" si="8"/>
        <v>1</v>
      </c>
      <c r="R57" t="str">
        <f t="shared" ca="1" si="9"/>
        <v>NÃO</v>
      </c>
      <c r="S57" t="str">
        <f t="shared" ca="1" si="10"/>
        <v>NÃO</v>
      </c>
    </row>
    <row r="58" spans="1:19">
      <c r="A58" s="3" t="s">
        <v>163</v>
      </c>
      <c r="B58" s="3" t="s">
        <v>164</v>
      </c>
      <c r="C58" s="28" t="s">
        <v>165</v>
      </c>
      <c r="D58" s="28" t="str">
        <f t="shared" si="0"/>
        <v>06/2026</v>
      </c>
      <c r="E58" s="4">
        <v>3877.49</v>
      </c>
      <c r="F58" s="17">
        <v>1.0900000000000001</v>
      </c>
      <c r="G58" s="5">
        <v>2</v>
      </c>
      <c r="H58" s="6">
        <v>4.99E-2</v>
      </c>
      <c r="J58" s="12">
        <f t="shared" ca="1" si="1"/>
        <v>132</v>
      </c>
      <c r="K58" s="13">
        <f t="shared" ca="1" si="2"/>
        <v>4.4000000000000004</v>
      </c>
      <c r="L58" s="14">
        <f t="shared" ca="1" si="3"/>
        <v>4066.9305042732094</v>
      </c>
      <c r="M58" s="14">
        <f t="shared" si="4"/>
        <v>77.549799999999991</v>
      </c>
      <c r="N58" s="14">
        <f t="shared" ca="1" si="5"/>
        <v>255.40251131999997</v>
      </c>
      <c r="O58" s="20">
        <f t="shared" ca="1" si="6"/>
        <v>4399.8828155932088</v>
      </c>
      <c r="P58" s="22" t="str">
        <f t="shared" ca="1" si="7"/>
        <v>SIM</v>
      </c>
      <c r="Q58" t="b">
        <f t="shared" ca="1" si="8"/>
        <v>1</v>
      </c>
      <c r="R58" t="str">
        <f t="shared" ca="1" si="9"/>
        <v>SIM</v>
      </c>
      <c r="S58" t="str">
        <f t="shared" ca="1" si="10"/>
        <v>SIM</v>
      </c>
    </row>
    <row r="59" spans="1:19">
      <c r="A59" s="7" t="s">
        <v>166</v>
      </c>
      <c r="B59" s="7" t="s">
        <v>167</v>
      </c>
      <c r="C59" s="29" t="s">
        <v>168</v>
      </c>
      <c r="D59" s="28" t="str">
        <f t="shared" si="0"/>
        <v>07/2025</v>
      </c>
      <c r="E59" s="8">
        <v>1505.87</v>
      </c>
      <c r="F59" s="18">
        <v>2.77</v>
      </c>
      <c r="G59" s="9">
        <v>2</v>
      </c>
      <c r="H59" s="10">
        <v>4.4999999999999998E-2</v>
      </c>
      <c r="J59" s="12">
        <f t="shared" ca="1" si="1"/>
        <v>464</v>
      </c>
      <c r="K59" s="13">
        <f t="shared" ca="1" si="2"/>
        <v>15.466666666666667</v>
      </c>
      <c r="L59" s="14">
        <f t="shared" ca="1" si="3"/>
        <v>2297.8435824865051</v>
      </c>
      <c r="M59" s="14">
        <f t="shared" si="4"/>
        <v>30.117399999999996</v>
      </c>
      <c r="N59" s="14">
        <f t="shared" ca="1" si="5"/>
        <v>314.42565599999995</v>
      </c>
      <c r="O59" s="20">
        <f t="shared" ca="1" si="6"/>
        <v>2642.386638486505</v>
      </c>
      <c r="P59" s="22" t="str">
        <f t="shared" ca="1" si="7"/>
        <v>SIM</v>
      </c>
      <c r="Q59" t="b">
        <f t="shared" ca="1" si="8"/>
        <v>1</v>
      </c>
      <c r="R59" t="str">
        <f t="shared" ca="1" si="9"/>
        <v>SIM</v>
      </c>
      <c r="S59" t="str">
        <f t="shared" ca="1" si="10"/>
        <v>SIM</v>
      </c>
    </row>
    <row r="60" spans="1:19">
      <c r="A60" s="3" t="s">
        <v>169</v>
      </c>
      <c r="B60" s="3" t="s">
        <v>170</v>
      </c>
      <c r="C60" s="28" t="s">
        <v>171</v>
      </c>
      <c r="D60" s="28" t="str">
        <f t="shared" si="0"/>
        <v>03/2025</v>
      </c>
      <c r="E60" s="4">
        <v>1754.14</v>
      </c>
      <c r="F60" s="17">
        <v>2.11</v>
      </c>
      <c r="G60" s="5">
        <v>2</v>
      </c>
      <c r="H60" s="6">
        <v>4.1399999999999999E-2</v>
      </c>
      <c r="J60" s="12">
        <f t="shared" ca="1" si="1"/>
        <v>590</v>
      </c>
      <c r="K60" s="13">
        <f t="shared" ca="1" si="2"/>
        <v>19.666666666666668</v>
      </c>
      <c r="L60" s="14">
        <f t="shared" ca="1" si="3"/>
        <v>2644.8863610962594</v>
      </c>
      <c r="M60" s="14">
        <f t="shared" si="4"/>
        <v>35.082799999999999</v>
      </c>
      <c r="N60" s="14">
        <f t="shared" ca="1" si="5"/>
        <v>428.46623640000001</v>
      </c>
      <c r="O60" s="20">
        <f t="shared" ca="1" si="6"/>
        <v>3108.4353974962596</v>
      </c>
      <c r="P60" s="22" t="str">
        <f t="shared" ca="1" si="7"/>
        <v>SIM</v>
      </c>
      <c r="Q60" t="b">
        <f t="shared" ca="1" si="8"/>
        <v>1</v>
      </c>
      <c r="R60" t="str">
        <f t="shared" ca="1" si="9"/>
        <v>SIM</v>
      </c>
      <c r="S60" t="str">
        <f t="shared" ca="1" si="10"/>
        <v>SIM</v>
      </c>
    </row>
    <row r="61" spans="1:19">
      <c r="A61" s="7" t="s">
        <v>172</v>
      </c>
      <c r="B61" s="7" t="s">
        <v>173</v>
      </c>
      <c r="C61" s="29" t="s">
        <v>174</v>
      </c>
      <c r="D61" s="28" t="str">
        <f t="shared" si="0"/>
        <v>06/2025</v>
      </c>
      <c r="E61" s="8">
        <v>2017.72</v>
      </c>
      <c r="F61" s="18">
        <v>2.7</v>
      </c>
      <c r="G61" s="9">
        <v>2</v>
      </c>
      <c r="H61" s="10">
        <v>3.6299999999999999E-2</v>
      </c>
      <c r="J61" s="12">
        <f t="shared" ca="1" si="1"/>
        <v>506</v>
      </c>
      <c r="K61" s="13">
        <f t="shared" ca="1" si="2"/>
        <v>16.866666666666667</v>
      </c>
      <c r="L61" s="14">
        <f t="shared" ca="1" si="3"/>
        <v>3162.3920835582408</v>
      </c>
      <c r="M61" s="14">
        <f t="shared" si="4"/>
        <v>40.354399999999998</v>
      </c>
      <c r="N61" s="14">
        <f t="shared" ca="1" si="5"/>
        <v>370.61077416000001</v>
      </c>
      <c r="O61" s="20">
        <f t="shared" ca="1" si="6"/>
        <v>3573.3572577182408</v>
      </c>
      <c r="P61" s="22" t="str">
        <f t="shared" ca="1" si="7"/>
        <v>SIM</v>
      </c>
      <c r="Q61" t="b">
        <f t="shared" ca="1" si="8"/>
        <v>1</v>
      </c>
      <c r="R61" t="str">
        <f t="shared" ca="1" si="9"/>
        <v>SIM</v>
      </c>
      <c r="S61" t="str">
        <f t="shared" ca="1" si="10"/>
        <v>SIM</v>
      </c>
    </row>
    <row r="62" spans="1:19">
      <c r="A62" s="3" t="s">
        <v>175</v>
      </c>
      <c r="B62" s="3" t="s">
        <v>176</v>
      </c>
      <c r="C62" s="28" t="s">
        <v>177</v>
      </c>
      <c r="D62" s="28" t="str">
        <f t="shared" si="0"/>
        <v>06/2025</v>
      </c>
      <c r="E62" s="4">
        <v>2850.49</v>
      </c>
      <c r="F62" s="17">
        <v>2.87</v>
      </c>
      <c r="G62" s="5">
        <v>2</v>
      </c>
      <c r="H62" s="6">
        <v>4.3900000000000002E-2</v>
      </c>
      <c r="J62" s="12">
        <f t="shared" ca="1" si="1"/>
        <v>505</v>
      </c>
      <c r="K62" s="13">
        <f t="shared" ca="1" si="2"/>
        <v>16.833333333333332</v>
      </c>
      <c r="L62" s="14">
        <f t="shared" ca="1" si="3"/>
        <v>4589.6543065856104</v>
      </c>
      <c r="M62" s="14">
        <f t="shared" si="4"/>
        <v>57.009799999999998</v>
      </c>
      <c r="N62" s="14">
        <f t="shared" ca="1" si="5"/>
        <v>631.93938055000001</v>
      </c>
      <c r="O62" s="20">
        <f t="shared" ca="1" si="6"/>
        <v>5278.6034871356105</v>
      </c>
      <c r="P62" s="22" t="str">
        <f t="shared" ca="1" si="7"/>
        <v>SIM</v>
      </c>
      <c r="Q62" t="b">
        <f t="shared" ca="1" si="8"/>
        <v>1</v>
      </c>
      <c r="R62" t="str">
        <f t="shared" ca="1" si="9"/>
        <v>SIM</v>
      </c>
      <c r="S62" t="str">
        <f t="shared" ca="1" si="10"/>
        <v>SIM</v>
      </c>
    </row>
    <row r="63" spans="1:19">
      <c r="A63" s="7" t="s">
        <v>178</v>
      </c>
      <c r="B63" s="7" t="s">
        <v>179</v>
      </c>
      <c r="C63" s="29" t="s">
        <v>13</v>
      </c>
      <c r="D63" s="28" t="str">
        <f t="shared" si="0"/>
        <v>10/2026</v>
      </c>
      <c r="E63" s="8">
        <v>4951.76</v>
      </c>
      <c r="F63" s="18">
        <v>1.28</v>
      </c>
      <c r="G63" s="9">
        <v>2</v>
      </c>
      <c r="H63" s="10">
        <v>4.0399999999999998E-2</v>
      </c>
      <c r="J63" s="12">
        <f t="shared" ca="1" si="1"/>
        <v>10</v>
      </c>
      <c r="K63" s="13">
        <f t="shared" ca="1" si="2"/>
        <v>0.33333333333333331</v>
      </c>
      <c r="L63" s="14">
        <f t="shared" ca="1" si="3"/>
        <v>4972.7980008985596</v>
      </c>
      <c r="M63" s="14">
        <f t="shared" si="4"/>
        <v>99.035200000000003</v>
      </c>
      <c r="N63" s="14">
        <f t="shared" ca="1" si="5"/>
        <v>20.0051104</v>
      </c>
      <c r="O63" s="20">
        <f t="shared" ca="1" si="6"/>
        <v>5091.8383112985603</v>
      </c>
      <c r="P63" s="22" t="str">
        <f t="shared" ca="1" si="7"/>
        <v>NÃO</v>
      </c>
      <c r="Q63" t="b">
        <f t="shared" ca="1" si="8"/>
        <v>1</v>
      </c>
      <c r="R63" t="str">
        <f t="shared" ca="1" si="9"/>
        <v>NÃO</v>
      </c>
      <c r="S63" t="str">
        <f t="shared" ca="1" si="10"/>
        <v>NÃO</v>
      </c>
    </row>
    <row r="64" spans="1:19">
      <c r="A64" s="3" t="s">
        <v>180</v>
      </c>
      <c r="B64" s="3" t="s">
        <v>181</v>
      </c>
      <c r="C64" s="28" t="s">
        <v>43</v>
      </c>
      <c r="D64" s="28" t="str">
        <f t="shared" si="0"/>
        <v>03/2026</v>
      </c>
      <c r="E64" s="4">
        <v>3742.73</v>
      </c>
      <c r="F64" s="17">
        <v>2.39</v>
      </c>
      <c r="G64" s="5">
        <v>2</v>
      </c>
      <c r="H64" s="6">
        <v>4.3999999999999997E-2</v>
      </c>
      <c r="J64" s="12">
        <f t="shared" ca="1" si="1"/>
        <v>239</v>
      </c>
      <c r="K64" s="13">
        <f t="shared" ca="1" si="2"/>
        <v>7.9666666666666668</v>
      </c>
      <c r="L64" s="14">
        <f t="shared" ca="1" si="3"/>
        <v>4517.5911525679876</v>
      </c>
      <c r="M64" s="14">
        <f t="shared" si="4"/>
        <v>74.854600000000005</v>
      </c>
      <c r="N64" s="14">
        <f t="shared" ca="1" si="5"/>
        <v>393.58548679999996</v>
      </c>
      <c r="O64" s="20">
        <f t="shared" ca="1" si="6"/>
        <v>4986.0312393679869</v>
      </c>
      <c r="P64" s="22" t="str">
        <f t="shared" ca="1" si="7"/>
        <v>SIM</v>
      </c>
      <c r="Q64" t="b">
        <f t="shared" ca="1" si="8"/>
        <v>1</v>
      </c>
      <c r="R64" t="str">
        <f t="shared" ca="1" si="9"/>
        <v>SIM</v>
      </c>
      <c r="S64" t="str">
        <f t="shared" ca="1" si="10"/>
        <v>SIM</v>
      </c>
    </row>
    <row r="65" spans="1:19">
      <c r="A65" s="7" t="s">
        <v>182</v>
      </c>
      <c r="B65" s="7" t="s">
        <v>183</v>
      </c>
      <c r="C65" s="29" t="s">
        <v>184</v>
      </c>
      <c r="D65" s="28" t="str">
        <f t="shared" si="0"/>
        <v>07/2025</v>
      </c>
      <c r="E65" s="8">
        <v>1573.92</v>
      </c>
      <c r="F65" s="18">
        <v>2.62</v>
      </c>
      <c r="G65" s="9">
        <v>2</v>
      </c>
      <c r="H65" s="10">
        <v>4.6199999999999998E-2</v>
      </c>
      <c r="J65" s="12">
        <f t="shared" ca="1" si="1"/>
        <v>468</v>
      </c>
      <c r="K65" s="13">
        <f t="shared" ca="1" si="2"/>
        <v>15.6</v>
      </c>
      <c r="L65" s="14">
        <f t="shared" ca="1" si="3"/>
        <v>2356.145005882403</v>
      </c>
      <c r="M65" s="14">
        <f t="shared" si="4"/>
        <v>31.478400000000001</v>
      </c>
      <c r="N65" s="14">
        <f t="shared" ca="1" si="5"/>
        <v>340.30668671999996</v>
      </c>
      <c r="O65" s="20">
        <f t="shared" ca="1" si="6"/>
        <v>2727.930092602403</v>
      </c>
      <c r="P65" s="22" t="str">
        <f t="shared" ca="1" si="7"/>
        <v>SIM</v>
      </c>
      <c r="Q65" t="b">
        <f t="shared" ca="1" si="8"/>
        <v>1</v>
      </c>
      <c r="R65" t="str">
        <f t="shared" ca="1" si="9"/>
        <v>SIM</v>
      </c>
      <c r="S65" t="str">
        <f t="shared" ca="1" si="10"/>
        <v>SIM</v>
      </c>
    </row>
    <row r="66" spans="1:19">
      <c r="A66" s="3" t="s">
        <v>185</v>
      </c>
      <c r="B66" s="3" t="s">
        <v>186</v>
      </c>
      <c r="C66" s="28" t="s">
        <v>187</v>
      </c>
      <c r="D66" s="28" t="str">
        <f t="shared" si="0"/>
        <v>03/2026</v>
      </c>
      <c r="E66" s="4">
        <v>545.73</v>
      </c>
      <c r="F66" s="17">
        <v>1.01</v>
      </c>
      <c r="G66" s="5">
        <v>2</v>
      </c>
      <c r="H66" s="6">
        <v>4.2599999999999999E-2</v>
      </c>
      <c r="J66" s="12">
        <f t="shared" ca="1" si="1"/>
        <v>230</v>
      </c>
      <c r="K66" s="13">
        <f t="shared" ca="1" si="2"/>
        <v>7.666666666666667</v>
      </c>
      <c r="L66" s="14">
        <f t="shared" ca="1" si="3"/>
        <v>589.43783235117155</v>
      </c>
      <c r="M66" s="14">
        <f t="shared" si="4"/>
        <v>10.9146</v>
      </c>
      <c r="N66" s="14">
        <f t="shared" ca="1" si="5"/>
        <v>53.470625399999996</v>
      </c>
      <c r="O66" s="20">
        <f t="shared" ca="1" si="6"/>
        <v>653.82305775117152</v>
      </c>
      <c r="P66" s="22" t="str">
        <f t="shared" ca="1" si="7"/>
        <v>SIM</v>
      </c>
      <c r="Q66" t="b">
        <f t="shared" ca="1" si="8"/>
        <v>1</v>
      </c>
      <c r="R66" t="str">
        <f t="shared" ca="1" si="9"/>
        <v>SIM</v>
      </c>
      <c r="S66" t="str">
        <f t="shared" ca="1" si="10"/>
        <v>SIM</v>
      </c>
    </row>
    <row r="67" spans="1:19">
      <c r="A67" s="7" t="s">
        <v>188</v>
      </c>
      <c r="B67" s="7" t="s">
        <v>189</v>
      </c>
      <c r="C67" s="29" t="s">
        <v>190</v>
      </c>
      <c r="D67" s="28" t="str">
        <f t="shared" si="0"/>
        <v>02/2025</v>
      </c>
      <c r="E67" s="8">
        <v>494.06</v>
      </c>
      <c r="F67" s="18">
        <v>1.79</v>
      </c>
      <c r="G67" s="9">
        <v>2</v>
      </c>
      <c r="H67" s="10">
        <v>3.1E-2</v>
      </c>
      <c r="J67" s="12">
        <f t="shared" ca="1" si="1"/>
        <v>630</v>
      </c>
      <c r="K67" s="13">
        <f t="shared" ca="1" si="2"/>
        <v>21</v>
      </c>
      <c r="L67" s="14">
        <f t="shared" ca="1" si="3"/>
        <v>717.11217460635828</v>
      </c>
      <c r="M67" s="14">
        <f t="shared" si="4"/>
        <v>9.8811999999999998</v>
      </c>
      <c r="N67" s="14">
        <f t="shared" ca="1" si="5"/>
        <v>96.489918000000003</v>
      </c>
      <c r="O67" s="20">
        <f t="shared" ca="1" si="6"/>
        <v>823.4832926063583</v>
      </c>
      <c r="P67" s="22" t="str">
        <f t="shared" ca="1" si="7"/>
        <v>SIM</v>
      </c>
      <c r="Q67" t="b">
        <f t="shared" ca="1" si="8"/>
        <v>1</v>
      </c>
      <c r="R67" t="str">
        <f t="shared" ca="1" si="9"/>
        <v>SIM</v>
      </c>
      <c r="S67" t="str">
        <f t="shared" ca="1" si="10"/>
        <v>SIM</v>
      </c>
    </row>
    <row r="68" spans="1:19">
      <c r="A68" s="3" t="s">
        <v>191</v>
      </c>
      <c r="B68" s="3" t="s">
        <v>192</v>
      </c>
      <c r="C68" s="28" t="s">
        <v>22</v>
      </c>
      <c r="D68" s="28" t="str">
        <f t="shared" si="0"/>
        <v>05/2026</v>
      </c>
      <c r="E68" s="4">
        <v>1971.58</v>
      </c>
      <c r="F68" s="17">
        <v>1.19</v>
      </c>
      <c r="G68" s="5">
        <v>2</v>
      </c>
      <c r="H68" s="6">
        <v>4.1599999999999998E-2</v>
      </c>
      <c r="J68" s="12">
        <f t="shared" ca="1" si="1"/>
        <v>165</v>
      </c>
      <c r="K68" s="13">
        <f t="shared" ca="1" si="2"/>
        <v>5.5</v>
      </c>
      <c r="L68" s="14">
        <f t="shared" ca="1" si="3"/>
        <v>2104.1232801725778</v>
      </c>
      <c r="M68" s="14">
        <f t="shared" si="4"/>
        <v>39.431599999999996</v>
      </c>
      <c r="N68" s="14">
        <f t="shared" ca="1" si="5"/>
        <v>135.32925119999999</v>
      </c>
      <c r="O68" s="20">
        <f t="shared" ca="1" si="6"/>
        <v>2278.8841313725775</v>
      </c>
      <c r="P68" s="22" t="str">
        <f t="shared" ca="1" si="7"/>
        <v>SIM</v>
      </c>
      <c r="Q68" t="b">
        <f t="shared" ca="1" si="8"/>
        <v>1</v>
      </c>
      <c r="R68" t="str">
        <f t="shared" ca="1" si="9"/>
        <v>SIM</v>
      </c>
      <c r="S68" t="str">
        <f t="shared" ca="1" si="10"/>
        <v>SIM</v>
      </c>
    </row>
    <row r="69" spans="1:19">
      <c r="A69" s="7" t="s">
        <v>193</v>
      </c>
      <c r="B69" s="7" t="s">
        <v>194</v>
      </c>
      <c r="C69" s="29" t="s">
        <v>195</v>
      </c>
      <c r="D69" s="28" t="str">
        <f t="shared" ref="D69:D132" si="11">MID(C69,4,7)</f>
        <v>03/2025</v>
      </c>
      <c r="E69" s="8">
        <v>901.95</v>
      </c>
      <c r="F69" s="18">
        <v>2.96</v>
      </c>
      <c r="G69" s="9">
        <v>2</v>
      </c>
      <c r="H69" s="10">
        <v>4.6800000000000001E-2</v>
      </c>
      <c r="J69" s="12">
        <f t="shared" ref="J69:J132" ca="1" si="12">I$4-C69</f>
        <v>575</v>
      </c>
      <c r="K69" s="13">
        <f t="shared" ref="K69:K132" ca="1" si="13">J69/30</f>
        <v>19.166666666666668</v>
      </c>
      <c r="L69" s="14">
        <f t="shared" ref="L69:L132" ca="1" si="14">E69*POWER(1+F69/100,K69)</f>
        <v>1577.5968456725664</v>
      </c>
      <c r="M69" s="14">
        <f t="shared" ref="M69:M132" si="15">E69*G69/100</f>
        <v>18.039000000000001</v>
      </c>
      <c r="N69" s="14">
        <f t="shared" ref="N69:N132" ca="1" si="16">E69*H69/100*J69</f>
        <v>242.71474499999999</v>
      </c>
      <c r="O69" s="20">
        <f t="shared" ref="O69:O132" ca="1" si="17">L69+M69+N69</f>
        <v>1838.3505906725663</v>
      </c>
      <c r="P69" s="22" t="str">
        <f t="shared" ref="P69:P132" ca="1" si="18">IF(J69&gt;=90,"SIM","NÃO")</f>
        <v>SIM</v>
      </c>
      <c r="Q69" t="b">
        <f t="shared" ref="Q69:Q132" ca="1" si="19">O69&gt;300</f>
        <v>1</v>
      </c>
      <c r="R69" t="str">
        <f t="shared" ref="R69:R132" ca="1" si="20">IF(AND(P69="SIM",Q69=TRUE), "SIM","NÃO")</f>
        <v>SIM</v>
      </c>
      <c r="S69" t="str">
        <f t="shared" ref="S69:S132" ca="1" si="21">IF(OR(P69="SIM",YEAR(TODAY())-YEAR(C69)&gt;=1), "SIM", "NÃO")</f>
        <v>SIM</v>
      </c>
    </row>
    <row r="70" spans="1:19">
      <c r="A70" s="3" t="s">
        <v>196</v>
      </c>
      <c r="B70" s="3" t="s">
        <v>197</v>
      </c>
      <c r="C70" s="28" t="s">
        <v>198</v>
      </c>
      <c r="D70" s="28" t="str">
        <f t="shared" si="11"/>
        <v>08/2026</v>
      </c>
      <c r="E70" s="4">
        <v>1363.72</v>
      </c>
      <c r="F70" s="17">
        <v>1.08</v>
      </c>
      <c r="G70" s="5">
        <v>2</v>
      </c>
      <c r="H70" s="6">
        <v>3.61E-2</v>
      </c>
      <c r="J70" s="12">
        <f t="shared" ca="1" si="12"/>
        <v>59</v>
      </c>
      <c r="K70" s="13">
        <f t="shared" ca="1" si="13"/>
        <v>1.9666666666666666</v>
      </c>
      <c r="L70" s="14">
        <f t="shared" ca="1" si="14"/>
        <v>1392.8365941612815</v>
      </c>
      <c r="M70" s="14">
        <f t="shared" si="15"/>
        <v>27.2744</v>
      </c>
      <c r="N70" s="14">
        <f t="shared" ca="1" si="16"/>
        <v>29.045872279999998</v>
      </c>
      <c r="O70" s="20">
        <f t="shared" ca="1" si="17"/>
        <v>1449.1568664412814</v>
      </c>
      <c r="P70" s="22" t="str">
        <f t="shared" ca="1" si="18"/>
        <v>NÃO</v>
      </c>
      <c r="Q70" t="b">
        <f t="shared" ca="1" si="19"/>
        <v>1</v>
      </c>
      <c r="R70" t="str">
        <f t="shared" ca="1" si="20"/>
        <v>NÃO</v>
      </c>
      <c r="S70" t="str">
        <f t="shared" ca="1" si="21"/>
        <v>NÃO</v>
      </c>
    </row>
    <row r="71" spans="1:19">
      <c r="A71" s="7" t="s">
        <v>199</v>
      </c>
      <c r="B71" s="7" t="s">
        <v>200</v>
      </c>
      <c r="C71" s="29" t="s">
        <v>201</v>
      </c>
      <c r="D71" s="28" t="str">
        <f t="shared" si="11"/>
        <v>04/2026</v>
      </c>
      <c r="E71" s="8">
        <v>2682.88</v>
      </c>
      <c r="F71" s="18">
        <v>2.54</v>
      </c>
      <c r="G71" s="9">
        <v>2</v>
      </c>
      <c r="H71" s="10">
        <v>3.4299999999999997E-2</v>
      </c>
      <c r="J71" s="12">
        <f t="shared" ca="1" si="12"/>
        <v>202</v>
      </c>
      <c r="K71" s="13">
        <f t="shared" ca="1" si="13"/>
        <v>6.7333333333333334</v>
      </c>
      <c r="L71" s="14">
        <f t="shared" ca="1" si="14"/>
        <v>3176.5050944963532</v>
      </c>
      <c r="M71" s="14">
        <f t="shared" si="15"/>
        <v>53.657600000000002</v>
      </c>
      <c r="N71" s="14">
        <f t="shared" ca="1" si="16"/>
        <v>185.88602367999999</v>
      </c>
      <c r="O71" s="20">
        <f t="shared" ca="1" si="17"/>
        <v>3416.0487181763533</v>
      </c>
      <c r="P71" s="22" t="str">
        <f t="shared" ca="1" si="18"/>
        <v>SIM</v>
      </c>
      <c r="Q71" t="b">
        <f t="shared" ca="1" si="19"/>
        <v>1</v>
      </c>
      <c r="R71" t="str">
        <f t="shared" ca="1" si="20"/>
        <v>SIM</v>
      </c>
      <c r="S71" t="str">
        <f t="shared" ca="1" si="21"/>
        <v>SIM</v>
      </c>
    </row>
    <row r="72" spans="1:19">
      <c r="A72" s="3" t="s">
        <v>202</v>
      </c>
      <c r="B72" s="3" t="s">
        <v>71</v>
      </c>
      <c r="C72" s="28" t="s">
        <v>203</v>
      </c>
      <c r="D72" s="28" t="str">
        <f t="shared" si="11"/>
        <v>01/2025</v>
      </c>
      <c r="E72" s="4">
        <v>563.94000000000005</v>
      </c>
      <c r="F72" s="17">
        <v>1.1000000000000001</v>
      </c>
      <c r="G72" s="5">
        <v>2</v>
      </c>
      <c r="H72" s="6">
        <v>4.0599999999999997E-2</v>
      </c>
      <c r="J72" s="12">
        <f t="shared" ca="1" si="12"/>
        <v>639</v>
      </c>
      <c r="K72" s="13">
        <f t="shared" ca="1" si="13"/>
        <v>21.3</v>
      </c>
      <c r="L72" s="14">
        <f t="shared" ca="1" si="14"/>
        <v>711.92216433134251</v>
      </c>
      <c r="M72" s="14">
        <f t="shared" si="15"/>
        <v>11.2788</v>
      </c>
      <c r="N72" s="14">
        <f t="shared" ca="1" si="16"/>
        <v>146.30520995999998</v>
      </c>
      <c r="O72" s="20">
        <f t="shared" ca="1" si="17"/>
        <v>869.50617429134252</v>
      </c>
      <c r="P72" s="22" t="str">
        <f t="shared" ca="1" si="18"/>
        <v>SIM</v>
      </c>
      <c r="Q72" t="b">
        <f t="shared" ca="1" si="19"/>
        <v>1</v>
      </c>
      <c r="R72" t="str">
        <f t="shared" ca="1" si="20"/>
        <v>SIM</v>
      </c>
      <c r="S72" t="str">
        <f t="shared" ca="1" si="21"/>
        <v>SIM</v>
      </c>
    </row>
    <row r="73" spans="1:19">
      <c r="A73" s="7" t="s">
        <v>204</v>
      </c>
      <c r="B73" s="7" t="s">
        <v>205</v>
      </c>
      <c r="C73" s="29" t="s">
        <v>206</v>
      </c>
      <c r="D73" s="28" t="str">
        <f t="shared" si="11"/>
        <v>03/2025</v>
      </c>
      <c r="E73" s="8">
        <v>3241.54</v>
      </c>
      <c r="F73" s="18">
        <v>2.4500000000000002</v>
      </c>
      <c r="G73" s="9">
        <v>2</v>
      </c>
      <c r="H73" s="10">
        <v>4.9500000000000002E-2</v>
      </c>
      <c r="J73" s="12">
        <f t="shared" ca="1" si="12"/>
        <v>601</v>
      </c>
      <c r="K73" s="13">
        <f t="shared" ca="1" si="13"/>
        <v>20.033333333333335</v>
      </c>
      <c r="L73" s="14">
        <f t="shared" ca="1" si="14"/>
        <v>5264.3049438917178</v>
      </c>
      <c r="M73" s="14">
        <f t="shared" si="15"/>
        <v>64.830799999999996</v>
      </c>
      <c r="N73" s="14">
        <f t="shared" ca="1" si="16"/>
        <v>964.34194230000003</v>
      </c>
      <c r="O73" s="20">
        <f t="shared" ca="1" si="17"/>
        <v>6293.477686191718</v>
      </c>
      <c r="P73" s="22" t="str">
        <f t="shared" ca="1" si="18"/>
        <v>SIM</v>
      </c>
      <c r="Q73" t="b">
        <f t="shared" ca="1" si="19"/>
        <v>1</v>
      </c>
      <c r="R73" t="str">
        <f t="shared" ca="1" si="20"/>
        <v>SIM</v>
      </c>
      <c r="S73" t="str">
        <f t="shared" ca="1" si="21"/>
        <v>SIM</v>
      </c>
    </row>
    <row r="74" spans="1:19">
      <c r="A74" s="3" t="s">
        <v>207</v>
      </c>
      <c r="B74" s="3" t="s">
        <v>208</v>
      </c>
      <c r="C74" s="28" t="s">
        <v>209</v>
      </c>
      <c r="D74" s="28" t="str">
        <f t="shared" si="11"/>
        <v>10/2026</v>
      </c>
      <c r="E74" s="4">
        <v>1716.34</v>
      </c>
      <c r="F74" s="17">
        <v>2.59</v>
      </c>
      <c r="G74" s="5">
        <v>2</v>
      </c>
      <c r="H74" s="6">
        <v>3.5400000000000001E-2</v>
      </c>
      <c r="J74" s="12">
        <f t="shared" ca="1" si="12"/>
        <v>5</v>
      </c>
      <c r="K74" s="13">
        <f t="shared" ca="1" si="13"/>
        <v>0.16666666666666666</v>
      </c>
      <c r="L74" s="14">
        <f t="shared" ca="1" si="14"/>
        <v>1723.6701563660881</v>
      </c>
      <c r="M74" s="14">
        <f t="shared" si="15"/>
        <v>34.326799999999999</v>
      </c>
      <c r="N74" s="14">
        <f t="shared" ca="1" si="16"/>
        <v>3.0379217999999995</v>
      </c>
      <c r="O74" s="20">
        <f t="shared" ca="1" si="17"/>
        <v>1761.0348781660882</v>
      </c>
      <c r="P74" s="22" t="str">
        <f t="shared" ca="1" si="18"/>
        <v>NÃO</v>
      </c>
      <c r="Q74" t="b">
        <f t="shared" ca="1" si="19"/>
        <v>1</v>
      </c>
      <c r="R74" t="str">
        <f t="shared" ca="1" si="20"/>
        <v>NÃO</v>
      </c>
      <c r="S74" t="str">
        <f t="shared" ca="1" si="21"/>
        <v>NÃO</v>
      </c>
    </row>
    <row r="75" spans="1:19">
      <c r="A75" s="7" t="s">
        <v>210</v>
      </c>
      <c r="B75" s="7" t="s">
        <v>211</v>
      </c>
      <c r="C75" s="29" t="s">
        <v>212</v>
      </c>
      <c r="D75" s="28" t="str">
        <f t="shared" si="11"/>
        <v>10/2026</v>
      </c>
      <c r="E75" s="8">
        <v>530.51</v>
      </c>
      <c r="F75" s="18">
        <v>1.05</v>
      </c>
      <c r="G75" s="9">
        <v>2</v>
      </c>
      <c r="H75" s="10">
        <v>4.9299999999999997E-2</v>
      </c>
      <c r="J75" s="12">
        <f t="shared" ca="1" si="12"/>
        <v>21</v>
      </c>
      <c r="K75" s="13">
        <f t="shared" ca="1" si="13"/>
        <v>0.7</v>
      </c>
      <c r="L75" s="14">
        <f t="shared" ca="1" si="14"/>
        <v>534.40313495905662</v>
      </c>
      <c r="M75" s="14">
        <f t="shared" si="15"/>
        <v>10.610199999999999</v>
      </c>
      <c r="N75" s="14">
        <f t="shared" ca="1" si="16"/>
        <v>5.4923700299999991</v>
      </c>
      <c r="O75" s="20">
        <f t="shared" ca="1" si="17"/>
        <v>550.50570498905654</v>
      </c>
      <c r="P75" s="22" t="str">
        <f t="shared" ca="1" si="18"/>
        <v>NÃO</v>
      </c>
      <c r="Q75" t="b">
        <f t="shared" ca="1" si="19"/>
        <v>1</v>
      </c>
      <c r="R75" t="str">
        <f t="shared" ca="1" si="20"/>
        <v>NÃO</v>
      </c>
      <c r="S75" t="str">
        <f t="shared" ca="1" si="21"/>
        <v>NÃO</v>
      </c>
    </row>
    <row r="76" spans="1:19">
      <c r="A76" s="3" t="s">
        <v>213</v>
      </c>
      <c r="B76" s="3" t="s">
        <v>214</v>
      </c>
      <c r="C76" s="28" t="s">
        <v>215</v>
      </c>
      <c r="D76" s="28" t="str">
        <f t="shared" si="11"/>
        <v>05/2025</v>
      </c>
      <c r="E76" s="4">
        <v>3489.22</v>
      </c>
      <c r="F76" s="17">
        <v>1.1200000000000001</v>
      </c>
      <c r="G76" s="5">
        <v>2</v>
      </c>
      <c r="H76" s="6">
        <v>4.8300000000000003E-2</v>
      </c>
      <c r="J76" s="12">
        <f t="shared" ca="1" si="12"/>
        <v>515</v>
      </c>
      <c r="K76" s="13">
        <f t="shared" ca="1" si="13"/>
        <v>17.166666666666668</v>
      </c>
      <c r="L76" s="14">
        <f t="shared" ca="1" si="14"/>
        <v>4224.3954476035187</v>
      </c>
      <c r="M76" s="14">
        <f t="shared" si="15"/>
        <v>69.784399999999991</v>
      </c>
      <c r="N76" s="14">
        <f t="shared" ca="1" si="16"/>
        <v>867.92602890000001</v>
      </c>
      <c r="O76" s="20">
        <f t="shared" ca="1" si="17"/>
        <v>5162.1058765035186</v>
      </c>
      <c r="P76" s="22" t="str">
        <f t="shared" ca="1" si="18"/>
        <v>SIM</v>
      </c>
      <c r="Q76" t="b">
        <f t="shared" ca="1" si="19"/>
        <v>1</v>
      </c>
      <c r="R76" t="str">
        <f t="shared" ca="1" si="20"/>
        <v>SIM</v>
      </c>
      <c r="S76" t="str">
        <f t="shared" ca="1" si="21"/>
        <v>SIM</v>
      </c>
    </row>
    <row r="77" spans="1:19">
      <c r="A77" s="7" t="s">
        <v>216</v>
      </c>
      <c r="B77" s="7" t="s">
        <v>217</v>
      </c>
      <c r="C77" s="29" t="s">
        <v>218</v>
      </c>
      <c r="D77" s="28" t="str">
        <f t="shared" si="11"/>
        <v>05/2025</v>
      </c>
      <c r="E77" s="8">
        <v>605.29</v>
      </c>
      <c r="F77" s="18">
        <v>1.37</v>
      </c>
      <c r="G77" s="9">
        <v>2</v>
      </c>
      <c r="H77" s="10">
        <v>4.87E-2</v>
      </c>
      <c r="J77" s="12">
        <f t="shared" ca="1" si="12"/>
        <v>525</v>
      </c>
      <c r="K77" s="13">
        <f t="shared" ca="1" si="13"/>
        <v>17.5</v>
      </c>
      <c r="L77" s="14">
        <f t="shared" ca="1" si="14"/>
        <v>768.03111114950889</v>
      </c>
      <c r="M77" s="14">
        <f t="shared" si="15"/>
        <v>12.105799999999999</v>
      </c>
      <c r="N77" s="14">
        <f t="shared" ca="1" si="16"/>
        <v>154.75752075</v>
      </c>
      <c r="O77" s="20">
        <f t="shared" ca="1" si="17"/>
        <v>934.89443189950896</v>
      </c>
      <c r="P77" s="22" t="str">
        <f t="shared" ca="1" si="18"/>
        <v>SIM</v>
      </c>
      <c r="Q77" t="b">
        <f t="shared" ca="1" si="19"/>
        <v>1</v>
      </c>
      <c r="R77" t="str">
        <f t="shared" ca="1" si="20"/>
        <v>SIM</v>
      </c>
      <c r="S77" t="str">
        <f t="shared" ca="1" si="21"/>
        <v>SIM</v>
      </c>
    </row>
    <row r="78" spans="1:19">
      <c r="A78" s="3" t="s">
        <v>219</v>
      </c>
      <c r="B78" s="3" t="s">
        <v>220</v>
      </c>
      <c r="C78" s="28" t="s">
        <v>221</v>
      </c>
      <c r="D78" s="28" t="str">
        <f t="shared" si="11"/>
        <v>11/2025</v>
      </c>
      <c r="E78" s="4">
        <v>3728.8</v>
      </c>
      <c r="F78" s="17">
        <v>2.11</v>
      </c>
      <c r="G78" s="5">
        <v>2</v>
      </c>
      <c r="H78" s="6">
        <v>4.2200000000000001E-2</v>
      </c>
      <c r="J78" s="12">
        <f t="shared" ca="1" si="12"/>
        <v>350</v>
      </c>
      <c r="K78" s="13">
        <f t="shared" ca="1" si="13"/>
        <v>11.666666666666666</v>
      </c>
      <c r="L78" s="14">
        <f t="shared" ca="1" si="14"/>
        <v>4757.3559338887035</v>
      </c>
      <c r="M78" s="14">
        <f t="shared" si="15"/>
        <v>74.576000000000008</v>
      </c>
      <c r="N78" s="14">
        <f t="shared" ca="1" si="16"/>
        <v>550.74376000000007</v>
      </c>
      <c r="O78" s="20">
        <f t="shared" ca="1" si="17"/>
        <v>5382.6756938887038</v>
      </c>
      <c r="P78" s="22" t="str">
        <f t="shared" ca="1" si="18"/>
        <v>SIM</v>
      </c>
      <c r="Q78" t="b">
        <f t="shared" ca="1" si="19"/>
        <v>1</v>
      </c>
      <c r="R78" t="str">
        <f t="shared" ca="1" si="20"/>
        <v>SIM</v>
      </c>
      <c r="S78" t="str">
        <f t="shared" ca="1" si="21"/>
        <v>SIM</v>
      </c>
    </row>
    <row r="79" spans="1:19">
      <c r="A79" s="7" t="s">
        <v>222</v>
      </c>
      <c r="B79" s="7" t="s">
        <v>223</v>
      </c>
      <c r="C79" s="29" t="s">
        <v>224</v>
      </c>
      <c r="D79" s="28" t="str">
        <f t="shared" si="11"/>
        <v>09/2025</v>
      </c>
      <c r="E79" s="8">
        <v>1351.5</v>
      </c>
      <c r="F79" s="18">
        <v>1.71</v>
      </c>
      <c r="G79" s="9">
        <v>2</v>
      </c>
      <c r="H79" s="10">
        <v>4.5199999999999997E-2</v>
      </c>
      <c r="J79" s="12">
        <f t="shared" ca="1" si="12"/>
        <v>401</v>
      </c>
      <c r="K79" s="13">
        <f t="shared" ca="1" si="13"/>
        <v>13.366666666666667</v>
      </c>
      <c r="L79" s="14">
        <f t="shared" ca="1" si="14"/>
        <v>1695.2882918913399</v>
      </c>
      <c r="M79" s="14">
        <f t="shared" si="15"/>
        <v>27.03</v>
      </c>
      <c r="N79" s="14">
        <f t="shared" ca="1" si="16"/>
        <v>244.96207799999996</v>
      </c>
      <c r="O79" s="20">
        <f t="shared" ca="1" si="17"/>
        <v>1967.2803698913399</v>
      </c>
      <c r="P79" s="22" t="str">
        <f t="shared" ca="1" si="18"/>
        <v>SIM</v>
      </c>
      <c r="Q79" t="b">
        <f t="shared" ca="1" si="19"/>
        <v>1</v>
      </c>
      <c r="R79" t="str">
        <f t="shared" ca="1" si="20"/>
        <v>SIM</v>
      </c>
      <c r="S79" t="str">
        <f t="shared" ca="1" si="21"/>
        <v>SIM</v>
      </c>
    </row>
    <row r="80" spans="1:19">
      <c r="A80" s="3" t="s">
        <v>225</v>
      </c>
      <c r="B80" s="3" t="s">
        <v>226</v>
      </c>
      <c r="C80" s="28" t="s">
        <v>227</v>
      </c>
      <c r="D80" s="28" t="str">
        <f t="shared" si="11"/>
        <v>11/2025</v>
      </c>
      <c r="E80" s="4">
        <v>595.23</v>
      </c>
      <c r="F80" s="17">
        <v>1.19</v>
      </c>
      <c r="G80" s="5">
        <v>2</v>
      </c>
      <c r="H80" s="6">
        <v>3.6200000000000003E-2</v>
      </c>
      <c r="J80" s="12">
        <f t="shared" ca="1" si="12"/>
        <v>352</v>
      </c>
      <c r="K80" s="13">
        <f t="shared" ca="1" si="13"/>
        <v>11.733333333333333</v>
      </c>
      <c r="L80" s="14">
        <f t="shared" ca="1" si="14"/>
        <v>683.85800842429228</v>
      </c>
      <c r="M80" s="14">
        <f t="shared" si="15"/>
        <v>11.9046</v>
      </c>
      <c r="N80" s="14">
        <f t="shared" ca="1" si="16"/>
        <v>75.846587520000014</v>
      </c>
      <c r="O80" s="20">
        <f t="shared" ca="1" si="17"/>
        <v>771.6091959442922</v>
      </c>
      <c r="P80" s="22" t="str">
        <f t="shared" ca="1" si="18"/>
        <v>SIM</v>
      </c>
      <c r="Q80" t="b">
        <f t="shared" ca="1" si="19"/>
        <v>1</v>
      </c>
      <c r="R80" t="str">
        <f t="shared" ca="1" si="20"/>
        <v>SIM</v>
      </c>
      <c r="S80" t="str">
        <f t="shared" ca="1" si="21"/>
        <v>SIM</v>
      </c>
    </row>
    <row r="81" spans="1:19">
      <c r="A81" s="7" t="s">
        <v>228</v>
      </c>
      <c r="B81" s="7" t="s">
        <v>113</v>
      </c>
      <c r="C81" s="29" t="s">
        <v>229</v>
      </c>
      <c r="D81" s="28" t="str">
        <f t="shared" si="11"/>
        <v>04/2026</v>
      </c>
      <c r="E81" s="8">
        <v>233.23</v>
      </c>
      <c r="F81" s="18">
        <v>2.5299999999999998</v>
      </c>
      <c r="G81" s="9">
        <v>2</v>
      </c>
      <c r="H81" s="10">
        <v>4.6100000000000002E-2</v>
      </c>
      <c r="J81" s="12">
        <f t="shared" ca="1" si="12"/>
        <v>186</v>
      </c>
      <c r="K81" s="13">
        <f t="shared" ca="1" si="13"/>
        <v>6.2</v>
      </c>
      <c r="L81" s="14">
        <f t="shared" ca="1" si="14"/>
        <v>272.30796711481833</v>
      </c>
      <c r="M81" s="14">
        <f t="shared" si="15"/>
        <v>4.6646000000000001</v>
      </c>
      <c r="N81" s="14">
        <f t="shared" ca="1" si="16"/>
        <v>19.998539579999999</v>
      </c>
      <c r="O81" s="20">
        <f t="shared" ca="1" si="17"/>
        <v>296.97110669481833</v>
      </c>
      <c r="P81" s="22" t="str">
        <f t="shared" ca="1" si="18"/>
        <v>SIM</v>
      </c>
      <c r="Q81" t="b">
        <f t="shared" ca="1" si="19"/>
        <v>0</v>
      </c>
      <c r="R81" t="str">
        <f t="shared" ca="1" si="20"/>
        <v>NÃO</v>
      </c>
      <c r="S81" t="str">
        <f t="shared" ca="1" si="21"/>
        <v>SIM</v>
      </c>
    </row>
    <row r="82" spans="1:19">
      <c r="A82" s="3" t="s">
        <v>230</v>
      </c>
      <c r="B82" s="3" t="s">
        <v>231</v>
      </c>
      <c r="C82" s="28" t="s">
        <v>232</v>
      </c>
      <c r="D82" s="28" t="str">
        <f t="shared" si="11"/>
        <v>09/2026</v>
      </c>
      <c r="E82" s="4">
        <v>2403.67</v>
      </c>
      <c r="F82" s="17">
        <v>2.2999999999999998</v>
      </c>
      <c r="G82" s="5">
        <v>2</v>
      </c>
      <c r="H82" s="6">
        <v>3.1E-2</v>
      </c>
      <c r="J82" s="12">
        <f t="shared" ca="1" si="12"/>
        <v>38</v>
      </c>
      <c r="K82" s="13">
        <f t="shared" ca="1" si="13"/>
        <v>1.2666666666666666</v>
      </c>
      <c r="L82" s="14">
        <f t="shared" ca="1" si="14"/>
        <v>2473.9104730690538</v>
      </c>
      <c r="M82" s="14">
        <f t="shared" si="15"/>
        <v>48.073399999999999</v>
      </c>
      <c r="N82" s="14">
        <f t="shared" ca="1" si="16"/>
        <v>28.315232600000005</v>
      </c>
      <c r="O82" s="20">
        <f t="shared" ca="1" si="17"/>
        <v>2550.2991056690539</v>
      </c>
      <c r="P82" s="22" t="str">
        <f t="shared" ca="1" si="18"/>
        <v>NÃO</v>
      </c>
      <c r="Q82" t="b">
        <f t="shared" ca="1" si="19"/>
        <v>1</v>
      </c>
      <c r="R82" t="str">
        <f t="shared" ca="1" si="20"/>
        <v>NÃO</v>
      </c>
      <c r="S82" t="str">
        <f t="shared" ca="1" si="21"/>
        <v>NÃO</v>
      </c>
    </row>
    <row r="83" spans="1:19">
      <c r="A83" s="7" t="s">
        <v>233</v>
      </c>
      <c r="B83" s="7" t="s">
        <v>15</v>
      </c>
      <c r="C83" s="29" t="s">
        <v>173</v>
      </c>
      <c r="D83" s="28" t="str">
        <f t="shared" si="11"/>
        <v>04/2025</v>
      </c>
      <c r="E83" s="8">
        <v>1415.33</v>
      </c>
      <c r="F83" s="18">
        <v>1.03</v>
      </c>
      <c r="G83" s="9">
        <v>2</v>
      </c>
      <c r="H83" s="10">
        <v>4.87E-2</v>
      </c>
      <c r="J83" s="12">
        <f t="shared" ca="1" si="12"/>
        <v>549</v>
      </c>
      <c r="K83" s="13">
        <f t="shared" ca="1" si="13"/>
        <v>18.3</v>
      </c>
      <c r="L83" s="14">
        <f t="shared" ca="1" si="14"/>
        <v>1707.2580610673974</v>
      </c>
      <c r="M83" s="14">
        <f t="shared" si="15"/>
        <v>28.3066</v>
      </c>
      <c r="N83" s="14">
        <f t="shared" ca="1" si="16"/>
        <v>378.40687478999996</v>
      </c>
      <c r="O83" s="20">
        <f t="shared" ca="1" si="17"/>
        <v>2113.9715358573972</v>
      </c>
      <c r="P83" s="22" t="str">
        <f t="shared" ca="1" si="18"/>
        <v>SIM</v>
      </c>
      <c r="Q83" t="b">
        <f t="shared" ca="1" si="19"/>
        <v>1</v>
      </c>
      <c r="R83" t="str">
        <f t="shared" ca="1" si="20"/>
        <v>SIM</v>
      </c>
      <c r="S83" t="str">
        <f t="shared" ca="1" si="21"/>
        <v>SIM</v>
      </c>
    </row>
    <row r="84" spans="1:19">
      <c r="A84" s="3" t="s">
        <v>234</v>
      </c>
      <c r="B84" s="3" t="s">
        <v>235</v>
      </c>
      <c r="C84" s="28" t="s">
        <v>236</v>
      </c>
      <c r="D84" s="28" t="str">
        <f t="shared" si="11"/>
        <v>09/2026</v>
      </c>
      <c r="E84" s="4">
        <v>2765.98</v>
      </c>
      <c r="F84" s="17">
        <v>2.37</v>
      </c>
      <c r="G84" s="5">
        <v>2</v>
      </c>
      <c r="H84" s="6">
        <v>4.2299999999999997E-2</v>
      </c>
      <c r="J84" s="12">
        <f t="shared" ca="1" si="12"/>
        <v>42</v>
      </c>
      <c r="K84" s="13">
        <f t="shared" ca="1" si="13"/>
        <v>1.4</v>
      </c>
      <c r="L84" s="14">
        <f t="shared" ca="1" si="14"/>
        <v>2858.188188266819</v>
      </c>
      <c r="M84" s="14">
        <f t="shared" si="15"/>
        <v>55.319600000000001</v>
      </c>
      <c r="N84" s="14">
        <f t="shared" ca="1" si="16"/>
        <v>49.140400679999999</v>
      </c>
      <c r="O84" s="20">
        <f t="shared" ca="1" si="17"/>
        <v>2962.6481889468187</v>
      </c>
      <c r="P84" s="22" t="str">
        <f t="shared" ca="1" si="18"/>
        <v>NÃO</v>
      </c>
      <c r="Q84" t="b">
        <f t="shared" ca="1" si="19"/>
        <v>1</v>
      </c>
      <c r="R84" t="str">
        <f t="shared" ca="1" si="20"/>
        <v>NÃO</v>
      </c>
      <c r="S84" t="str">
        <f t="shared" ca="1" si="21"/>
        <v>NÃO</v>
      </c>
    </row>
    <row r="85" spans="1:19">
      <c r="A85" s="7" t="s">
        <v>237</v>
      </c>
      <c r="B85" s="7" t="s">
        <v>238</v>
      </c>
      <c r="C85" s="29" t="s">
        <v>239</v>
      </c>
      <c r="D85" s="28" t="str">
        <f t="shared" si="11"/>
        <v>01/2026</v>
      </c>
      <c r="E85" s="8">
        <v>4729.62</v>
      </c>
      <c r="F85" s="18">
        <v>2.73</v>
      </c>
      <c r="G85" s="9">
        <v>2</v>
      </c>
      <c r="H85" s="10">
        <v>4.2700000000000002E-2</v>
      </c>
      <c r="J85" s="12">
        <f t="shared" ca="1" si="12"/>
        <v>292</v>
      </c>
      <c r="K85" s="13">
        <f t="shared" ca="1" si="13"/>
        <v>9.7333333333333325</v>
      </c>
      <c r="L85" s="14">
        <f t="shared" ca="1" si="14"/>
        <v>6147.23552777245</v>
      </c>
      <c r="M85" s="14">
        <f t="shared" si="15"/>
        <v>94.592399999999998</v>
      </c>
      <c r="N85" s="14">
        <f t="shared" ca="1" si="16"/>
        <v>589.70794008000007</v>
      </c>
      <c r="O85" s="20">
        <f t="shared" ca="1" si="17"/>
        <v>6831.5358678524508</v>
      </c>
      <c r="P85" s="22" t="str">
        <f t="shared" ca="1" si="18"/>
        <v>SIM</v>
      </c>
      <c r="Q85" t="b">
        <f t="shared" ca="1" si="19"/>
        <v>1</v>
      </c>
      <c r="R85" t="str">
        <f t="shared" ca="1" si="20"/>
        <v>SIM</v>
      </c>
      <c r="S85" t="str">
        <f t="shared" ca="1" si="21"/>
        <v>SIM</v>
      </c>
    </row>
    <row r="86" spans="1:19">
      <c r="A86" s="3" t="s">
        <v>240</v>
      </c>
      <c r="B86" s="3" t="s">
        <v>53</v>
      </c>
      <c r="C86" s="28" t="s">
        <v>241</v>
      </c>
      <c r="D86" s="28" t="str">
        <f t="shared" si="11"/>
        <v>01/2026</v>
      </c>
      <c r="E86" s="4">
        <v>2372.5300000000002</v>
      </c>
      <c r="F86" s="17">
        <v>2.09</v>
      </c>
      <c r="G86" s="5">
        <v>2</v>
      </c>
      <c r="H86" s="6">
        <v>4.8800000000000003E-2</v>
      </c>
      <c r="J86" s="12">
        <f t="shared" ca="1" si="12"/>
        <v>270</v>
      </c>
      <c r="K86" s="13">
        <f t="shared" ca="1" si="13"/>
        <v>9</v>
      </c>
      <c r="L86" s="14">
        <f t="shared" ca="1" si="14"/>
        <v>2857.9889611082813</v>
      </c>
      <c r="M86" s="14">
        <f t="shared" si="15"/>
        <v>47.450600000000001</v>
      </c>
      <c r="N86" s="14">
        <f t="shared" ca="1" si="16"/>
        <v>312.60455280000002</v>
      </c>
      <c r="O86" s="20">
        <f t="shared" ca="1" si="17"/>
        <v>3218.0441139082814</v>
      </c>
      <c r="P86" s="22" t="str">
        <f t="shared" ca="1" si="18"/>
        <v>SIM</v>
      </c>
      <c r="Q86" t="b">
        <f t="shared" ca="1" si="19"/>
        <v>1</v>
      </c>
      <c r="R86" t="str">
        <f t="shared" ca="1" si="20"/>
        <v>SIM</v>
      </c>
      <c r="S86" t="str">
        <f t="shared" ca="1" si="21"/>
        <v>SIM</v>
      </c>
    </row>
    <row r="87" spans="1:19">
      <c r="A87" s="7" t="s">
        <v>242</v>
      </c>
      <c r="B87" s="7" t="s">
        <v>243</v>
      </c>
      <c r="C87" s="29" t="s">
        <v>244</v>
      </c>
      <c r="D87" s="28" t="str">
        <f t="shared" si="11"/>
        <v>08/2026</v>
      </c>
      <c r="E87" s="8">
        <v>3309.7</v>
      </c>
      <c r="F87" s="18">
        <v>1.41</v>
      </c>
      <c r="G87" s="9">
        <v>2</v>
      </c>
      <c r="H87" s="10">
        <v>3.5499999999999997E-2</v>
      </c>
      <c r="J87" s="12">
        <f t="shared" ca="1" si="12"/>
        <v>73</v>
      </c>
      <c r="K87" s="13">
        <f t="shared" ca="1" si="13"/>
        <v>2.4333333333333331</v>
      </c>
      <c r="L87" s="14">
        <f t="shared" ca="1" si="14"/>
        <v>3424.4056208191828</v>
      </c>
      <c r="M87" s="14">
        <f t="shared" si="15"/>
        <v>66.194000000000003</v>
      </c>
      <c r="N87" s="14">
        <f t="shared" ca="1" si="16"/>
        <v>85.770875499999988</v>
      </c>
      <c r="O87" s="20">
        <f t="shared" ca="1" si="17"/>
        <v>3576.3704963191826</v>
      </c>
      <c r="P87" s="22" t="str">
        <f t="shared" ca="1" si="18"/>
        <v>NÃO</v>
      </c>
      <c r="Q87" t="b">
        <f t="shared" ca="1" si="19"/>
        <v>1</v>
      </c>
      <c r="R87" t="str">
        <f t="shared" ca="1" si="20"/>
        <v>NÃO</v>
      </c>
      <c r="S87" t="str">
        <f t="shared" ca="1" si="21"/>
        <v>NÃO</v>
      </c>
    </row>
    <row r="88" spans="1:19">
      <c r="A88" s="3" t="s">
        <v>245</v>
      </c>
      <c r="B88" s="3" t="s">
        <v>246</v>
      </c>
      <c r="C88" s="28" t="s">
        <v>247</v>
      </c>
      <c r="D88" s="28" t="str">
        <f t="shared" si="11"/>
        <v>02/2025</v>
      </c>
      <c r="E88" s="4">
        <v>238.38</v>
      </c>
      <c r="F88" s="17">
        <v>1.19</v>
      </c>
      <c r="G88" s="5">
        <v>2</v>
      </c>
      <c r="H88" s="6">
        <v>4.3700000000000003E-2</v>
      </c>
      <c r="J88" s="12">
        <f t="shared" ca="1" si="12"/>
        <v>625</v>
      </c>
      <c r="K88" s="13">
        <f t="shared" ca="1" si="13"/>
        <v>20.833333333333332</v>
      </c>
      <c r="L88" s="14">
        <f t="shared" ca="1" si="14"/>
        <v>305.00226432230806</v>
      </c>
      <c r="M88" s="14">
        <f t="shared" si="15"/>
        <v>4.7675999999999998</v>
      </c>
      <c r="N88" s="14">
        <f t="shared" ca="1" si="16"/>
        <v>65.107537499999992</v>
      </c>
      <c r="O88" s="20">
        <f t="shared" ca="1" si="17"/>
        <v>374.87740182230806</v>
      </c>
      <c r="P88" s="22" t="str">
        <f t="shared" ca="1" si="18"/>
        <v>SIM</v>
      </c>
      <c r="Q88" t="b">
        <f t="shared" ca="1" si="19"/>
        <v>1</v>
      </c>
      <c r="R88" t="str">
        <f t="shared" ca="1" si="20"/>
        <v>SIM</v>
      </c>
      <c r="S88" t="str">
        <f t="shared" ca="1" si="21"/>
        <v>SIM</v>
      </c>
    </row>
    <row r="89" spans="1:19">
      <c r="A89" s="7" t="s">
        <v>248</v>
      </c>
      <c r="B89" s="7" t="s">
        <v>195</v>
      </c>
      <c r="C89" s="29" t="s">
        <v>249</v>
      </c>
      <c r="D89" s="28" t="str">
        <f t="shared" si="11"/>
        <v>04/2025</v>
      </c>
      <c r="E89" s="8">
        <v>2019.17</v>
      </c>
      <c r="F89" s="18">
        <v>2.36</v>
      </c>
      <c r="G89" s="9">
        <v>2</v>
      </c>
      <c r="H89" s="10">
        <v>3.6799999999999999E-2</v>
      </c>
      <c r="J89" s="12">
        <f t="shared" ca="1" si="12"/>
        <v>553</v>
      </c>
      <c r="K89" s="13">
        <f t="shared" ca="1" si="13"/>
        <v>18.433333333333334</v>
      </c>
      <c r="L89" s="14">
        <f t="shared" ca="1" si="14"/>
        <v>3103.8995768528607</v>
      </c>
      <c r="M89" s="14">
        <f t="shared" si="15"/>
        <v>40.383400000000002</v>
      </c>
      <c r="N89" s="14">
        <f t="shared" ca="1" si="16"/>
        <v>410.90917168000004</v>
      </c>
      <c r="O89" s="20">
        <f t="shared" ca="1" si="17"/>
        <v>3555.1921485328608</v>
      </c>
      <c r="P89" s="22" t="str">
        <f t="shared" ca="1" si="18"/>
        <v>SIM</v>
      </c>
      <c r="Q89" t="b">
        <f t="shared" ca="1" si="19"/>
        <v>1</v>
      </c>
      <c r="R89" t="str">
        <f t="shared" ca="1" si="20"/>
        <v>SIM</v>
      </c>
      <c r="S89" t="str">
        <f t="shared" ca="1" si="21"/>
        <v>SIM</v>
      </c>
    </row>
    <row r="90" spans="1:19">
      <c r="A90" s="3" t="s">
        <v>250</v>
      </c>
      <c r="B90" s="3" t="s">
        <v>251</v>
      </c>
      <c r="C90" s="28" t="s">
        <v>252</v>
      </c>
      <c r="D90" s="28" t="str">
        <f t="shared" si="11"/>
        <v>05/2025</v>
      </c>
      <c r="E90" s="4">
        <v>2555.7800000000002</v>
      </c>
      <c r="F90" s="17">
        <v>2.39</v>
      </c>
      <c r="G90" s="5">
        <v>2</v>
      </c>
      <c r="H90" s="6">
        <v>3.6999999999999998E-2</v>
      </c>
      <c r="J90" s="12">
        <f t="shared" ca="1" si="12"/>
        <v>527</v>
      </c>
      <c r="K90" s="13">
        <f t="shared" ca="1" si="13"/>
        <v>17.566666666666666</v>
      </c>
      <c r="L90" s="14">
        <f t="shared" ca="1" si="14"/>
        <v>3870.0297712416727</v>
      </c>
      <c r="M90" s="14">
        <f t="shared" si="15"/>
        <v>51.115600000000001</v>
      </c>
      <c r="N90" s="14">
        <f t="shared" ca="1" si="16"/>
        <v>498.35154220000004</v>
      </c>
      <c r="O90" s="20">
        <f t="shared" ca="1" si="17"/>
        <v>4419.4969134416733</v>
      </c>
      <c r="P90" s="22" t="str">
        <f t="shared" ca="1" si="18"/>
        <v>SIM</v>
      </c>
      <c r="Q90" t="b">
        <f t="shared" ca="1" si="19"/>
        <v>1</v>
      </c>
      <c r="R90" t="str">
        <f t="shared" ca="1" si="20"/>
        <v>SIM</v>
      </c>
      <c r="S90" t="str">
        <f t="shared" ca="1" si="21"/>
        <v>SIM</v>
      </c>
    </row>
    <row r="91" spans="1:19">
      <c r="A91" s="7" t="s">
        <v>253</v>
      </c>
      <c r="B91" s="7" t="s">
        <v>171</v>
      </c>
      <c r="C91" s="29" t="s">
        <v>254</v>
      </c>
      <c r="D91" s="28" t="str">
        <f t="shared" si="11"/>
        <v>04/2025</v>
      </c>
      <c r="E91" s="8">
        <v>340.05</v>
      </c>
      <c r="F91" s="18">
        <v>1.84</v>
      </c>
      <c r="G91" s="9">
        <v>2</v>
      </c>
      <c r="H91" s="10">
        <v>4.9399999999999999E-2</v>
      </c>
      <c r="J91" s="12">
        <f t="shared" ca="1" si="12"/>
        <v>547</v>
      </c>
      <c r="K91" s="13">
        <f t="shared" ca="1" si="13"/>
        <v>18.233333333333334</v>
      </c>
      <c r="L91" s="14">
        <f t="shared" ca="1" si="14"/>
        <v>474.15620172589604</v>
      </c>
      <c r="M91" s="14">
        <f t="shared" si="15"/>
        <v>6.8010000000000002</v>
      </c>
      <c r="N91" s="14">
        <f t="shared" ca="1" si="16"/>
        <v>91.887630900000005</v>
      </c>
      <c r="O91" s="20">
        <f t="shared" ca="1" si="17"/>
        <v>572.84483262589606</v>
      </c>
      <c r="P91" s="22" t="str">
        <f t="shared" ca="1" si="18"/>
        <v>SIM</v>
      </c>
      <c r="Q91" t="b">
        <f t="shared" ca="1" si="19"/>
        <v>1</v>
      </c>
      <c r="R91" t="str">
        <f t="shared" ca="1" si="20"/>
        <v>SIM</v>
      </c>
      <c r="S91" t="str">
        <f t="shared" ca="1" si="21"/>
        <v>SIM</v>
      </c>
    </row>
    <row r="92" spans="1:19">
      <c r="A92" s="3" t="s">
        <v>255</v>
      </c>
      <c r="B92" s="3" t="s">
        <v>256</v>
      </c>
      <c r="C92" s="28" t="s">
        <v>257</v>
      </c>
      <c r="D92" s="28" t="str">
        <f t="shared" si="11"/>
        <v>02/2026</v>
      </c>
      <c r="E92" s="4">
        <v>3790.48</v>
      </c>
      <c r="F92" s="17">
        <v>2.61</v>
      </c>
      <c r="G92" s="5">
        <v>2</v>
      </c>
      <c r="H92" s="6">
        <v>4.9799999999999997E-2</v>
      </c>
      <c r="J92" s="12">
        <f t="shared" ca="1" si="12"/>
        <v>252</v>
      </c>
      <c r="K92" s="13">
        <f t="shared" ca="1" si="13"/>
        <v>8.4</v>
      </c>
      <c r="L92" s="14">
        <f t="shared" ca="1" si="14"/>
        <v>4706.3864541816047</v>
      </c>
      <c r="M92" s="14">
        <f t="shared" si="15"/>
        <v>75.809600000000003</v>
      </c>
      <c r="N92" s="14">
        <f t="shared" ca="1" si="16"/>
        <v>475.69007807999992</v>
      </c>
      <c r="O92" s="20">
        <f t="shared" ca="1" si="17"/>
        <v>5257.886132261604</v>
      </c>
      <c r="P92" s="22" t="str">
        <f t="shared" ca="1" si="18"/>
        <v>SIM</v>
      </c>
      <c r="Q92" t="b">
        <f t="shared" ca="1" si="19"/>
        <v>1</v>
      </c>
      <c r="R92" t="str">
        <f t="shared" ca="1" si="20"/>
        <v>SIM</v>
      </c>
      <c r="S92" t="str">
        <f t="shared" ca="1" si="21"/>
        <v>SIM</v>
      </c>
    </row>
    <row r="93" spans="1:19">
      <c r="A93" s="7" t="s">
        <v>258</v>
      </c>
      <c r="B93" s="7" t="s">
        <v>259</v>
      </c>
      <c r="C93" s="29" t="s">
        <v>260</v>
      </c>
      <c r="D93" s="28" t="str">
        <f t="shared" si="11"/>
        <v>08/2026</v>
      </c>
      <c r="E93" s="8">
        <v>1362.58</v>
      </c>
      <c r="F93" s="18">
        <v>2.16</v>
      </c>
      <c r="G93" s="9">
        <v>2</v>
      </c>
      <c r="H93" s="10">
        <v>4.7300000000000002E-2</v>
      </c>
      <c r="J93" s="12">
        <f t="shared" ca="1" si="12"/>
        <v>85</v>
      </c>
      <c r="K93" s="13">
        <f t="shared" ca="1" si="13"/>
        <v>2.8333333333333335</v>
      </c>
      <c r="L93" s="14">
        <f t="shared" ca="1" si="14"/>
        <v>1447.6309137889868</v>
      </c>
      <c r="M93" s="14">
        <f t="shared" si="15"/>
        <v>27.2516</v>
      </c>
      <c r="N93" s="14">
        <f t="shared" ca="1" si="16"/>
        <v>54.782528900000003</v>
      </c>
      <c r="O93" s="20">
        <f t="shared" ca="1" si="17"/>
        <v>1529.6650426889869</v>
      </c>
      <c r="P93" s="22" t="str">
        <f t="shared" ca="1" si="18"/>
        <v>NÃO</v>
      </c>
      <c r="Q93" t="b">
        <f t="shared" ca="1" si="19"/>
        <v>1</v>
      </c>
      <c r="R93" t="str">
        <f t="shared" ca="1" si="20"/>
        <v>NÃO</v>
      </c>
      <c r="S93" t="str">
        <f t="shared" ca="1" si="21"/>
        <v>NÃO</v>
      </c>
    </row>
    <row r="94" spans="1:19">
      <c r="A94" s="3" t="s">
        <v>261</v>
      </c>
      <c r="B94" s="3" t="s">
        <v>170</v>
      </c>
      <c r="C94" s="28" t="s">
        <v>66</v>
      </c>
      <c r="D94" s="28" t="str">
        <f t="shared" si="11"/>
        <v>03/2025</v>
      </c>
      <c r="E94" s="4">
        <v>2230.62</v>
      </c>
      <c r="F94" s="17">
        <v>2.5</v>
      </c>
      <c r="G94" s="5">
        <v>2</v>
      </c>
      <c r="H94" s="6">
        <v>4.5100000000000001E-2</v>
      </c>
      <c r="J94" s="12">
        <f t="shared" ca="1" si="12"/>
        <v>602</v>
      </c>
      <c r="K94" s="13">
        <f t="shared" ca="1" si="13"/>
        <v>20.066666666666666</v>
      </c>
      <c r="L94" s="14">
        <f t="shared" ca="1" si="14"/>
        <v>3661.1525408572747</v>
      </c>
      <c r="M94" s="14">
        <f t="shared" si="15"/>
        <v>44.612400000000001</v>
      </c>
      <c r="N94" s="14">
        <f t="shared" ca="1" si="16"/>
        <v>605.61779123999997</v>
      </c>
      <c r="O94" s="20">
        <f t="shared" ca="1" si="17"/>
        <v>4311.382732097275</v>
      </c>
      <c r="P94" s="22" t="str">
        <f t="shared" ca="1" si="18"/>
        <v>SIM</v>
      </c>
      <c r="Q94" t="b">
        <f t="shared" ca="1" si="19"/>
        <v>1</v>
      </c>
      <c r="R94" t="str">
        <f t="shared" ca="1" si="20"/>
        <v>SIM</v>
      </c>
      <c r="S94" t="str">
        <f t="shared" ca="1" si="21"/>
        <v>SIM</v>
      </c>
    </row>
    <row r="95" spans="1:19">
      <c r="A95" s="7" t="s">
        <v>262</v>
      </c>
      <c r="B95" s="7" t="s">
        <v>263</v>
      </c>
      <c r="C95" s="29" t="s">
        <v>135</v>
      </c>
      <c r="D95" s="28" t="str">
        <f t="shared" si="11"/>
        <v>10/2025</v>
      </c>
      <c r="E95" s="8">
        <v>2600.4699999999998</v>
      </c>
      <c r="F95" s="18">
        <v>2.65</v>
      </c>
      <c r="G95" s="9">
        <v>2</v>
      </c>
      <c r="H95" s="10">
        <v>3.6400000000000002E-2</v>
      </c>
      <c r="J95" s="12">
        <f t="shared" ca="1" si="12"/>
        <v>361</v>
      </c>
      <c r="K95" s="13">
        <f t="shared" ca="1" si="13"/>
        <v>12.033333333333333</v>
      </c>
      <c r="L95" s="14">
        <f t="shared" ca="1" si="14"/>
        <v>3562.360972462312</v>
      </c>
      <c r="M95" s="14">
        <f t="shared" si="15"/>
        <v>52.009399999999999</v>
      </c>
      <c r="N95" s="14">
        <f t="shared" ca="1" si="16"/>
        <v>341.71215987999994</v>
      </c>
      <c r="O95" s="20">
        <f t="shared" ca="1" si="17"/>
        <v>3956.0825323423119</v>
      </c>
      <c r="P95" s="22" t="str">
        <f t="shared" ca="1" si="18"/>
        <v>SIM</v>
      </c>
      <c r="Q95" t="b">
        <f t="shared" ca="1" si="19"/>
        <v>1</v>
      </c>
      <c r="R95" t="str">
        <f t="shared" ca="1" si="20"/>
        <v>SIM</v>
      </c>
      <c r="S95" t="str">
        <f t="shared" ca="1" si="21"/>
        <v>SIM</v>
      </c>
    </row>
    <row r="96" spans="1:19">
      <c r="A96" s="3" t="s">
        <v>264</v>
      </c>
      <c r="B96" s="3" t="s">
        <v>265</v>
      </c>
      <c r="C96" s="28" t="s">
        <v>266</v>
      </c>
      <c r="D96" s="28" t="str">
        <f t="shared" si="11"/>
        <v>02/2025</v>
      </c>
      <c r="E96" s="4">
        <v>409.4</v>
      </c>
      <c r="F96" s="17">
        <v>2.92</v>
      </c>
      <c r="G96" s="5">
        <v>2</v>
      </c>
      <c r="H96" s="6">
        <v>4.6899999999999997E-2</v>
      </c>
      <c r="J96" s="12">
        <f t="shared" ca="1" si="12"/>
        <v>615</v>
      </c>
      <c r="K96" s="13">
        <f t="shared" ca="1" si="13"/>
        <v>20.5</v>
      </c>
      <c r="L96" s="14">
        <f t="shared" ca="1" si="14"/>
        <v>738.57274618535632</v>
      </c>
      <c r="M96" s="14">
        <f t="shared" si="15"/>
        <v>8.1879999999999988</v>
      </c>
      <c r="N96" s="14">
        <f t="shared" ca="1" si="16"/>
        <v>118.08528899999999</v>
      </c>
      <c r="O96" s="20">
        <f t="shared" ca="1" si="17"/>
        <v>864.8460351853563</v>
      </c>
      <c r="P96" s="22" t="str">
        <f t="shared" ca="1" si="18"/>
        <v>SIM</v>
      </c>
      <c r="Q96" t="b">
        <f t="shared" ca="1" si="19"/>
        <v>1</v>
      </c>
      <c r="R96" t="str">
        <f t="shared" ca="1" si="20"/>
        <v>SIM</v>
      </c>
      <c r="S96" t="str">
        <f t="shared" ca="1" si="21"/>
        <v>SIM</v>
      </c>
    </row>
    <row r="97" spans="1:19">
      <c r="A97" s="7" t="s">
        <v>267</v>
      </c>
      <c r="B97" s="7" t="s">
        <v>268</v>
      </c>
      <c r="C97" s="29" t="s">
        <v>269</v>
      </c>
      <c r="D97" s="28" t="str">
        <f t="shared" si="11"/>
        <v>10/2025</v>
      </c>
      <c r="E97" s="8">
        <v>4790.4799999999996</v>
      </c>
      <c r="F97" s="18">
        <v>2.35</v>
      </c>
      <c r="G97" s="9">
        <v>2</v>
      </c>
      <c r="H97" s="10">
        <v>3.9699999999999999E-2</v>
      </c>
      <c r="J97" s="12">
        <f t="shared" ca="1" si="12"/>
        <v>379</v>
      </c>
      <c r="K97" s="13">
        <f t="shared" ca="1" si="13"/>
        <v>12.633333333333333</v>
      </c>
      <c r="L97" s="14">
        <f t="shared" ca="1" si="14"/>
        <v>6424.2460342671102</v>
      </c>
      <c r="M97" s="14">
        <f t="shared" si="15"/>
        <v>95.809599999999989</v>
      </c>
      <c r="N97" s="14">
        <f t="shared" ca="1" si="16"/>
        <v>720.78999223999995</v>
      </c>
      <c r="O97" s="20">
        <f t="shared" ca="1" si="17"/>
        <v>7240.84562650711</v>
      </c>
      <c r="P97" s="22" t="str">
        <f t="shared" ca="1" si="18"/>
        <v>SIM</v>
      </c>
      <c r="Q97" t="b">
        <f t="shared" ca="1" si="19"/>
        <v>1</v>
      </c>
      <c r="R97" t="str">
        <f t="shared" ca="1" si="20"/>
        <v>SIM</v>
      </c>
      <c r="S97" t="str">
        <f t="shared" ca="1" si="21"/>
        <v>SIM</v>
      </c>
    </row>
    <row r="98" spans="1:19">
      <c r="A98" s="3" t="s">
        <v>270</v>
      </c>
      <c r="B98" s="3" t="s">
        <v>89</v>
      </c>
      <c r="C98" s="28" t="s">
        <v>271</v>
      </c>
      <c r="D98" s="28" t="str">
        <f t="shared" si="11"/>
        <v>06/2026</v>
      </c>
      <c r="E98" s="4">
        <v>553.92999999999995</v>
      </c>
      <c r="F98" s="17">
        <v>1.18</v>
      </c>
      <c r="G98" s="5">
        <v>2</v>
      </c>
      <c r="H98" s="6">
        <v>4.2000000000000003E-2</v>
      </c>
      <c r="J98" s="12">
        <f t="shared" ca="1" si="12"/>
        <v>130</v>
      </c>
      <c r="K98" s="13">
        <f t="shared" ca="1" si="13"/>
        <v>4.333333333333333</v>
      </c>
      <c r="L98" s="14">
        <f t="shared" ca="1" si="14"/>
        <v>582.8164642045333</v>
      </c>
      <c r="M98" s="14">
        <f t="shared" si="15"/>
        <v>11.0786</v>
      </c>
      <c r="N98" s="14">
        <f t="shared" ca="1" si="16"/>
        <v>30.244577999999997</v>
      </c>
      <c r="O98" s="20">
        <f t="shared" ca="1" si="17"/>
        <v>624.1396422045334</v>
      </c>
      <c r="P98" s="22" t="str">
        <f t="shared" ca="1" si="18"/>
        <v>SIM</v>
      </c>
      <c r="Q98" t="b">
        <f t="shared" ca="1" si="19"/>
        <v>1</v>
      </c>
      <c r="R98" t="str">
        <f t="shared" ca="1" si="20"/>
        <v>SIM</v>
      </c>
      <c r="S98" t="str">
        <f t="shared" ca="1" si="21"/>
        <v>SIM</v>
      </c>
    </row>
    <row r="99" spans="1:19">
      <c r="A99" s="7" t="s">
        <v>272</v>
      </c>
      <c r="B99" s="7" t="s">
        <v>273</v>
      </c>
      <c r="C99" s="29" t="s">
        <v>274</v>
      </c>
      <c r="D99" s="28" t="str">
        <f t="shared" si="11"/>
        <v>05/2026</v>
      </c>
      <c r="E99" s="8">
        <v>4739.04</v>
      </c>
      <c r="F99" s="18">
        <v>2.56</v>
      </c>
      <c r="G99" s="9">
        <v>2</v>
      </c>
      <c r="H99" s="10">
        <v>3.2300000000000002E-2</v>
      </c>
      <c r="J99" s="12">
        <f t="shared" ca="1" si="12"/>
        <v>178</v>
      </c>
      <c r="K99" s="13">
        <f t="shared" ca="1" si="13"/>
        <v>5.9333333333333336</v>
      </c>
      <c r="L99" s="14">
        <f t="shared" ca="1" si="14"/>
        <v>5505.8779486873027</v>
      </c>
      <c r="M99" s="14">
        <f t="shared" si="15"/>
        <v>94.780799999999999</v>
      </c>
      <c r="N99" s="14">
        <f t="shared" ca="1" si="16"/>
        <v>272.46636576000003</v>
      </c>
      <c r="O99" s="20">
        <f t="shared" ca="1" si="17"/>
        <v>5873.1251144473035</v>
      </c>
      <c r="P99" s="22" t="str">
        <f t="shared" ca="1" si="18"/>
        <v>SIM</v>
      </c>
      <c r="Q99" t="b">
        <f t="shared" ca="1" si="19"/>
        <v>1</v>
      </c>
      <c r="R99" t="str">
        <f t="shared" ca="1" si="20"/>
        <v>SIM</v>
      </c>
      <c r="S99" t="str">
        <f t="shared" ca="1" si="21"/>
        <v>SIM</v>
      </c>
    </row>
    <row r="100" spans="1:19">
      <c r="A100" s="3" t="s">
        <v>275</v>
      </c>
      <c r="B100" s="3" t="s">
        <v>276</v>
      </c>
      <c r="C100" s="28" t="s">
        <v>277</v>
      </c>
      <c r="D100" s="28" t="str">
        <f t="shared" si="11"/>
        <v>03/2025</v>
      </c>
      <c r="E100" s="4">
        <v>429.16</v>
      </c>
      <c r="F100" s="17">
        <v>2.1</v>
      </c>
      <c r="G100" s="5">
        <v>2</v>
      </c>
      <c r="H100" s="6">
        <v>3.8800000000000001E-2</v>
      </c>
      <c r="J100" s="12">
        <f t="shared" ca="1" si="12"/>
        <v>583</v>
      </c>
      <c r="K100" s="13">
        <f t="shared" ca="1" si="13"/>
        <v>19.433333333333334</v>
      </c>
      <c r="L100" s="14">
        <f t="shared" ca="1" si="14"/>
        <v>642.71656184585459</v>
      </c>
      <c r="M100" s="14">
        <f t="shared" si="15"/>
        <v>8.5831999999999997</v>
      </c>
      <c r="N100" s="14">
        <f t="shared" ca="1" si="16"/>
        <v>97.077708640000012</v>
      </c>
      <c r="O100" s="20">
        <f t="shared" ca="1" si="17"/>
        <v>748.37747048585459</v>
      </c>
      <c r="P100" s="22" t="str">
        <f t="shared" ca="1" si="18"/>
        <v>SIM</v>
      </c>
      <c r="Q100" t="b">
        <f t="shared" ca="1" si="19"/>
        <v>1</v>
      </c>
      <c r="R100" t="str">
        <f t="shared" ca="1" si="20"/>
        <v>SIM</v>
      </c>
      <c r="S100" t="str">
        <f t="shared" ca="1" si="21"/>
        <v>SIM</v>
      </c>
    </row>
    <row r="101" spans="1:19">
      <c r="A101" s="7" t="s">
        <v>278</v>
      </c>
      <c r="B101" s="7" t="s">
        <v>279</v>
      </c>
      <c r="C101" s="29" t="s">
        <v>81</v>
      </c>
      <c r="D101" s="28" t="str">
        <f t="shared" si="11"/>
        <v>09/2025</v>
      </c>
      <c r="E101" s="8">
        <v>1851.94</v>
      </c>
      <c r="F101" s="18">
        <v>1.23</v>
      </c>
      <c r="G101" s="9">
        <v>2</v>
      </c>
      <c r="H101" s="10">
        <v>3.2899999999999999E-2</v>
      </c>
      <c r="J101" s="12">
        <f t="shared" ca="1" si="12"/>
        <v>407</v>
      </c>
      <c r="K101" s="13">
        <f t="shared" ca="1" si="13"/>
        <v>13.566666666666666</v>
      </c>
      <c r="L101" s="14">
        <f t="shared" ca="1" si="14"/>
        <v>2186.0271861747419</v>
      </c>
      <c r="M101" s="14">
        <f t="shared" si="15"/>
        <v>37.038800000000002</v>
      </c>
      <c r="N101" s="14">
        <f t="shared" ca="1" si="16"/>
        <v>247.98032182</v>
      </c>
      <c r="O101" s="20">
        <f t="shared" ca="1" si="17"/>
        <v>2471.0463079947417</v>
      </c>
      <c r="P101" s="22" t="str">
        <f t="shared" ca="1" si="18"/>
        <v>SIM</v>
      </c>
      <c r="Q101" t="b">
        <f t="shared" ca="1" si="19"/>
        <v>1</v>
      </c>
      <c r="R101" t="str">
        <f t="shared" ca="1" si="20"/>
        <v>SIM</v>
      </c>
      <c r="S101" t="str">
        <f t="shared" ca="1" si="21"/>
        <v>SIM</v>
      </c>
    </row>
    <row r="102" spans="1:19">
      <c r="A102" s="3" t="s">
        <v>280</v>
      </c>
      <c r="B102" s="3" t="s">
        <v>281</v>
      </c>
      <c r="C102" s="28" t="s">
        <v>282</v>
      </c>
      <c r="D102" s="28" t="str">
        <f t="shared" si="11"/>
        <v>04/2025</v>
      </c>
      <c r="E102" s="4">
        <v>3148.36</v>
      </c>
      <c r="F102" s="17">
        <v>1.2</v>
      </c>
      <c r="G102" s="5">
        <v>2</v>
      </c>
      <c r="H102" s="6">
        <v>3.1699999999999999E-2</v>
      </c>
      <c r="J102" s="12">
        <f t="shared" ca="1" si="12"/>
        <v>551</v>
      </c>
      <c r="K102" s="13">
        <f t="shared" ca="1" si="13"/>
        <v>18.366666666666667</v>
      </c>
      <c r="L102" s="14">
        <f t="shared" ca="1" si="14"/>
        <v>3919.5222337601367</v>
      </c>
      <c r="M102" s="14">
        <f t="shared" si="15"/>
        <v>62.967200000000005</v>
      </c>
      <c r="N102" s="14">
        <f t="shared" ca="1" si="16"/>
        <v>549.91459611999994</v>
      </c>
      <c r="O102" s="20">
        <f t="shared" ca="1" si="17"/>
        <v>4532.4040298801365</v>
      </c>
      <c r="P102" s="22" t="str">
        <f t="shared" ca="1" si="18"/>
        <v>SIM</v>
      </c>
      <c r="Q102" t="b">
        <f t="shared" ca="1" si="19"/>
        <v>1</v>
      </c>
      <c r="R102" t="str">
        <f t="shared" ca="1" si="20"/>
        <v>SIM</v>
      </c>
      <c r="S102" t="str">
        <f t="shared" ca="1" si="21"/>
        <v>SIM</v>
      </c>
    </row>
    <row r="103" spans="1:19">
      <c r="A103" s="7" t="s">
        <v>283</v>
      </c>
      <c r="B103" s="7" t="s">
        <v>284</v>
      </c>
      <c r="C103" s="29" t="s">
        <v>285</v>
      </c>
      <c r="D103" s="28" t="str">
        <f t="shared" si="11"/>
        <v>07/2025</v>
      </c>
      <c r="E103" s="8">
        <v>2073.7600000000002</v>
      </c>
      <c r="F103" s="18">
        <v>2.78</v>
      </c>
      <c r="G103" s="9">
        <v>2</v>
      </c>
      <c r="H103" s="10">
        <v>3.2899999999999999E-2</v>
      </c>
      <c r="J103" s="12">
        <f t="shared" ca="1" si="12"/>
        <v>473</v>
      </c>
      <c r="K103" s="13">
        <f t="shared" ca="1" si="13"/>
        <v>15.766666666666667</v>
      </c>
      <c r="L103" s="14">
        <f t="shared" ca="1" si="14"/>
        <v>3195.3440788475746</v>
      </c>
      <c r="M103" s="14">
        <f t="shared" si="15"/>
        <v>41.475200000000001</v>
      </c>
      <c r="N103" s="14">
        <f t="shared" ca="1" si="16"/>
        <v>322.71230992</v>
      </c>
      <c r="O103" s="20">
        <f t="shared" ca="1" si="17"/>
        <v>3559.5315887675742</v>
      </c>
      <c r="P103" s="22" t="str">
        <f t="shared" ca="1" si="18"/>
        <v>SIM</v>
      </c>
      <c r="Q103" t="b">
        <f t="shared" ca="1" si="19"/>
        <v>1</v>
      </c>
      <c r="R103" t="str">
        <f t="shared" ca="1" si="20"/>
        <v>SIM</v>
      </c>
      <c r="S103" t="str">
        <f t="shared" ca="1" si="21"/>
        <v>SIM</v>
      </c>
    </row>
    <row r="104" spans="1:19">
      <c r="A104" s="3" t="s">
        <v>286</v>
      </c>
      <c r="B104" s="3" t="s">
        <v>287</v>
      </c>
      <c r="C104" s="28" t="s">
        <v>288</v>
      </c>
      <c r="D104" s="28" t="str">
        <f t="shared" si="11"/>
        <v>02/2025</v>
      </c>
      <c r="E104" s="4">
        <v>1281.1600000000001</v>
      </c>
      <c r="F104" s="17">
        <v>2.16</v>
      </c>
      <c r="G104" s="5">
        <v>2</v>
      </c>
      <c r="H104" s="6">
        <v>4.7300000000000002E-2</v>
      </c>
      <c r="J104" s="12">
        <f t="shared" ca="1" si="12"/>
        <v>617</v>
      </c>
      <c r="K104" s="13">
        <f t="shared" ca="1" si="13"/>
        <v>20.566666666666666</v>
      </c>
      <c r="L104" s="14">
        <f t="shared" ca="1" si="14"/>
        <v>1988.2922679684445</v>
      </c>
      <c r="M104" s="14">
        <f t="shared" si="15"/>
        <v>25.623200000000001</v>
      </c>
      <c r="N104" s="14">
        <f t="shared" ca="1" si="16"/>
        <v>373.89501556000005</v>
      </c>
      <c r="O104" s="20">
        <f t="shared" ca="1" si="17"/>
        <v>2387.8104835284448</v>
      </c>
      <c r="P104" s="22" t="str">
        <f t="shared" ca="1" si="18"/>
        <v>SIM</v>
      </c>
      <c r="Q104" t="b">
        <f t="shared" ca="1" si="19"/>
        <v>1</v>
      </c>
      <c r="R104" t="str">
        <f t="shared" ca="1" si="20"/>
        <v>SIM</v>
      </c>
      <c r="S104" t="str">
        <f t="shared" ca="1" si="21"/>
        <v>SIM</v>
      </c>
    </row>
    <row r="105" spans="1:19">
      <c r="A105" s="7" t="s">
        <v>289</v>
      </c>
      <c r="B105" s="7" t="s">
        <v>290</v>
      </c>
      <c r="C105" s="29" t="s">
        <v>291</v>
      </c>
      <c r="D105" s="28" t="str">
        <f t="shared" si="11"/>
        <v>01/2026</v>
      </c>
      <c r="E105" s="8">
        <v>1297.92</v>
      </c>
      <c r="F105" s="18">
        <v>2.82</v>
      </c>
      <c r="G105" s="9">
        <v>2</v>
      </c>
      <c r="H105" s="10">
        <v>4.1799999999999997E-2</v>
      </c>
      <c r="J105" s="12">
        <f t="shared" ca="1" si="12"/>
        <v>289</v>
      </c>
      <c r="K105" s="13">
        <f t="shared" ca="1" si="13"/>
        <v>9.6333333333333329</v>
      </c>
      <c r="L105" s="14">
        <f t="shared" ca="1" si="14"/>
        <v>1696.6625223334454</v>
      </c>
      <c r="M105" s="14">
        <f t="shared" si="15"/>
        <v>25.958400000000001</v>
      </c>
      <c r="N105" s="14">
        <f t="shared" ca="1" si="16"/>
        <v>156.79133184</v>
      </c>
      <c r="O105" s="20">
        <f t="shared" ca="1" si="17"/>
        <v>1879.4122541734455</v>
      </c>
      <c r="P105" s="22" t="str">
        <f t="shared" ca="1" si="18"/>
        <v>SIM</v>
      </c>
      <c r="Q105" t="b">
        <f t="shared" ca="1" si="19"/>
        <v>1</v>
      </c>
      <c r="R105" t="str">
        <f t="shared" ca="1" si="20"/>
        <v>SIM</v>
      </c>
      <c r="S105" t="str">
        <f t="shared" ca="1" si="21"/>
        <v>SIM</v>
      </c>
    </row>
    <row r="106" spans="1:19">
      <c r="A106" s="3" t="s">
        <v>292</v>
      </c>
      <c r="B106" s="3" t="s">
        <v>293</v>
      </c>
      <c r="C106" s="28" t="s">
        <v>249</v>
      </c>
      <c r="D106" s="28" t="str">
        <f t="shared" si="11"/>
        <v>04/2025</v>
      </c>
      <c r="E106" s="4">
        <v>554.98</v>
      </c>
      <c r="F106" s="17">
        <v>2.5499999999999998</v>
      </c>
      <c r="G106" s="5">
        <v>2</v>
      </c>
      <c r="H106" s="6">
        <v>4.1200000000000001E-2</v>
      </c>
      <c r="J106" s="12">
        <f t="shared" ca="1" si="12"/>
        <v>553</v>
      </c>
      <c r="K106" s="13">
        <f t="shared" ca="1" si="13"/>
        <v>18.433333333333334</v>
      </c>
      <c r="L106" s="14">
        <f t="shared" ca="1" si="14"/>
        <v>882.79138296092867</v>
      </c>
      <c r="M106" s="14">
        <f t="shared" si="15"/>
        <v>11.099600000000001</v>
      </c>
      <c r="N106" s="14">
        <f t="shared" ca="1" si="16"/>
        <v>126.44442328000001</v>
      </c>
      <c r="O106" s="20">
        <f t="shared" ca="1" si="17"/>
        <v>1020.3354062409287</v>
      </c>
      <c r="P106" s="22" t="str">
        <f t="shared" ca="1" si="18"/>
        <v>SIM</v>
      </c>
      <c r="Q106" t="b">
        <f t="shared" ca="1" si="19"/>
        <v>1</v>
      </c>
      <c r="R106" t="str">
        <f t="shared" ca="1" si="20"/>
        <v>SIM</v>
      </c>
      <c r="S106" t="str">
        <f t="shared" ca="1" si="21"/>
        <v>SIM</v>
      </c>
    </row>
    <row r="107" spans="1:19">
      <c r="A107" s="7" t="s">
        <v>294</v>
      </c>
      <c r="B107" s="7" t="s">
        <v>295</v>
      </c>
      <c r="C107" s="29" t="s">
        <v>251</v>
      </c>
      <c r="D107" s="28" t="str">
        <f t="shared" si="11"/>
        <v>04/2025</v>
      </c>
      <c r="E107" s="8">
        <v>4545.82</v>
      </c>
      <c r="F107" s="18">
        <v>1.22</v>
      </c>
      <c r="G107" s="9">
        <v>2</v>
      </c>
      <c r="H107" s="10">
        <v>3.9899999999999998E-2</v>
      </c>
      <c r="J107" s="12">
        <f t="shared" ca="1" si="12"/>
        <v>550</v>
      </c>
      <c r="K107" s="13">
        <f t="shared" ca="1" si="13"/>
        <v>18.333333333333332</v>
      </c>
      <c r="L107" s="14">
        <f t="shared" ca="1" si="14"/>
        <v>5677.5592205742432</v>
      </c>
      <c r="M107" s="14">
        <f t="shared" si="15"/>
        <v>90.916399999999996</v>
      </c>
      <c r="N107" s="14">
        <f t="shared" ca="1" si="16"/>
        <v>997.58019899999988</v>
      </c>
      <c r="O107" s="20">
        <f t="shared" ca="1" si="17"/>
        <v>6766.0558195742433</v>
      </c>
      <c r="P107" s="22" t="str">
        <f t="shared" ca="1" si="18"/>
        <v>SIM</v>
      </c>
      <c r="Q107" t="b">
        <f t="shared" ca="1" si="19"/>
        <v>1</v>
      </c>
      <c r="R107" t="str">
        <f t="shared" ca="1" si="20"/>
        <v>SIM</v>
      </c>
      <c r="S107" t="str">
        <f t="shared" ca="1" si="21"/>
        <v>SIM</v>
      </c>
    </row>
    <row r="108" spans="1:19">
      <c r="A108" s="3" t="s">
        <v>296</v>
      </c>
      <c r="B108" s="3" t="s">
        <v>297</v>
      </c>
      <c r="C108" s="28" t="s">
        <v>224</v>
      </c>
      <c r="D108" s="28" t="str">
        <f t="shared" si="11"/>
        <v>09/2025</v>
      </c>
      <c r="E108" s="4">
        <v>423.07</v>
      </c>
      <c r="F108" s="17">
        <v>1.24</v>
      </c>
      <c r="G108" s="5">
        <v>2</v>
      </c>
      <c r="H108" s="6">
        <v>3.2399999999999998E-2</v>
      </c>
      <c r="J108" s="12">
        <f t="shared" ca="1" si="12"/>
        <v>401</v>
      </c>
      <c r="K108" s="13">
        <f t="shared" ca="1" si="13"/>
        <v>13.366666666666667</v>
      </c>
      <c r="L108" s="14">
        <f t="shared" ca="1" si="14"/>
        <v>498.82987420462501</v>
      </c>
      <c r="M108" s="14">
        <f t="shared" si="15"/>
        <v>8.4613999999999994</v>
      </c>
      <c r="N108" s="14">
        <f t="shared" ca="1" si="16"/>
        <v>54.966946679999992</v>
      </c>
      <c r="O108" s="20">
        <f t="shared" ca="1" si="17"/>
        <v>562.25822088462508</v>
      </c>
      <c r="P108" s="22" t="str">
        <f t="shared" ca="1" si="18"/>
        <v>SIM</v>
      </c>
      <c r="Q108" t="b">
        <f t="shared" ca="1" si="19"/>
        <v>1</v>
      </c>
      <c r="R108" t="str">
        <f t="shared" ca="1" si="20"/>
        <v>SIM</v>
      </c>
      <c r="S108" t="str">
        <f t="shared" ca="1" si="21"/>
        <v>SIM</v>
      </c>
    </row>
    <row r="109" spans="1:19">
      <c r="A109" s="7" t="s">
        <v>298</v>
      </c>
      <c r="B109" s="7" t="s">
        <v>299</v>
      </c>
      <c r="C109" s="29" t="s">
        <v>300</v>
      </c>
      <c r="D109" s="28" t="str">
        <f t="shared" si="11"/>
        <v>01/2026</v>
      </c>
      <c r="E109" s="8">
        <v>3768.32</v>
      </c>
      <c r="F109" s="18">
        <v>2.17</v>
      </c>
      <c r="G109" s="9">
        <v>2</v>
      </c>
      <c r="H109" s="10">
        <v>4.9200000000000001E-2</v>
      </c>
      <c r="J109" s="12">
        <f t="shared" ca="1" si="12"/>
        <v>283</v>
      </c>
      <c r="K109" s="13">
        <f t="shared" ca="1" si="13"/>
        <v>9.4333333333333336</v>
      </c>
      <c r="L109" s="14">
        <f t="shared" ca="1" si="14"/>
        <v>4614.2216531958511</v>
      </c>
      <c r="M109" s="14">
        <f t="shared" si="15"/>
        <v>75.366399999999999</v>
      </c>
      <c r="N109" s="14">
        <f t="shared" ca="1" si="16"/>
        <v>524.68580352000004</v>
      </c>
      <c r="O109" s="20">
        <f t="shared" ca="1" si="17"/>
        <v>5214.2738567158513</v>
      </c>
      <c r="P109" s="22" t="str">
        <f t="shared" ca="1" si="18"/>
        <v>SIM</v>
      </c>
      <c r="Q109" t="b">
        <f t="shared" ca="1" si="19"/>
        <v>1</v>
      </c>
      <c r="R109" t="str">
        <f t="shared" ca="1" si="20"/>
        <v>SIM</v>
      </c>
      <c r="S109" t="str">
        <f t="shared" ca="1" si="21"/>
        <v>SIM</v>
      </c>
    </row>
    <row r="110" spans="1:19">
      <c r="A110" s="3" t="s">
        <v>301</v>
      </c>
      <c r="B110" s="3" t="s">
        <v>302</v>
      </c>
      <c r="C110" s="28" t="s">
        <v>303</v>
      </c>
      <c r="D110" s="28" t="str">
        <f t="shared" si="11"/>
        <v>08/2025</v>
      </c>
      <c r="E110" s="4">
        <v>1535.7</v>
      </c>
      <c r="F110" s="17">
        <v>2.74</v>
      </c>
      <c r="G110" s="5">
        <v>2</v>
      </c>
      <c r="H110" s="6">
        <v>3.4500000000000003E-2</v>
      </c>
      <c r="J110" s="12">
        <f t="shared" ca="1" si="12"/>
        <v>432</v>
      </c>
      <c r="K110" s="13">
        <f t="shared" ca="1" si="13"/>
        <v>14.4</v>
      </c>
      <c r="L110" s="14">
        <f t="shared" ca="1" si="14"/>
        <v>2266.5017997956879</v>
      </c>
      <c r="M110" s="14">
        <f t="shared" si="15"/>
        <v>30.714000000000002</v>
      </c>
      <c r="N110" s="14">
        <f t="shared" ca="1" si="16"/>
        <v>228.88072800000006</v>
      </c>
      <c r="O110" s="20">
        <f t="shared" ca="1" si="17"/>
        <v>2526.096527795688</v>
      </c>
      <c r="P110" s="22" t="str">
        <f t="shared" ca="1" si="18"/>
        <v>SIM</v>
      </c>
      <c r="Q110" t="b">
        <f t="shared" ca="1" si="19"/>
        <v>1</v>
      </c>
      <c r="R110" t="str">
        <f t="shared" ca="1" si="20"/>
        <v>SIM</v>
      </c>
      <c r="S110" t="str">
        <f t="shared" ca="1" si="21"/>
        <v>SIM</v>
      </c>
    </row>
    <row r="111" spans="1:19">
      <c r="A111" s="7" t="s">
        <v>304</v>
      </c>
      <c r="B111" s="7" t="s">
        <v>305</v>
      </c>
      <c r="C111" s="29" t="s">
        <v>306</v>
      </c>
      <c r="D111" s="28" t="str">
        <f t="shared" si="11"/>
        <v>06/2025</v>
      </c>
      <c r="E111" s="8">
        <v>208.95</v>
      </c>
      <c r="F111" s="18">
        <v>2.94</v>
      </c>
      <c r="G111" s="9">
        <v>2</v>
      </c>
      <c r="H111" s="10">
        <v>3.09E-2</v>
      </c>
      <c r="J111" s="12">
        <f t="shared" ca="1" si="12"/>
        <v>491</v>
      </c>
      <c r="K111" s="13">
        <f t="shared" ca="1" si="13"/>
        <v>16.366666666666667</v>
      </c>
      <c r="L111" s="14">
        <f t="shared" ca="1" si="14"/>
        <v>335.74008151902075</v>
      </c>
      <c r="M111" s="14">
        <f t="shared" si="15"/>
        <v>4.1789999999999994</v>
      </c>
      <c r="N111" s="14">
        <f t="shared" ca="1" si="16"/>
        <v>31.701685049999998</v>
      </c>
      <c r="O111" s="20">
        <f t="shared" ca="1" si="17"/>
        <v>371.6207665690207</v>
      </c>
      <c r="P111" s="22" t="str">
        <f t="shared" ca="1" si="18"/>
        <v>SIM</v>
      </c>
      <c r="Q111" t="b">
        <f t="shared" ca="1" si="19"/>
        <v>1</v>
      </c>
      <c r="R111" t="str">
        <f t="shared" ca="1" si="20"/>
        <v>SIM</v>
      </c>
      <c r="S111" t="str">
        <f t="shared" ca="1" si="21"/>
        <v>SIM</v>
      </c>
    </row>
    <row r="112" spans="1:19">
      <c r="A112" s="3" t="s">
        <v>307</v>
      </c>
      <c r="B112" s="3" t="s">
        <v>308</v>
      </c>
      <c r="C112" s="28" t="s">
        <v>309</v>
      </c>
      <c r="D112" s="28" t="str">
        <f t="shared" si="11"/>
        <v>06/2025</v>
      </c>
      <c r="E112" s="4">
        <v>2709.35</v>
      </c>
      <c r="F112" s="17">
        <v>2.99</v>
      </c>
      <c r="G112" s="5">
        <v>2</v>
      </c>
      <c r="H112" s="6">
        <v>3.15E-2</v>
      </c>
      <c r="J112" s="12">
        <f t="shared" ca="1" si="12"/>
        <v>486</v>
      </c>
      <c r="K112" s="13">
        <f t="shared" ca="1" si="13"/>
        <v>16.2</v>
      </c>
      <c r="L112" s="14">
        <f t="shared" ca="1" si="14"/>
        <v>4366.6165228127029</v>
      </c>
      <c r="M112" s="14">
        <f t="shared" si="15"/>
        <v>54.186999999999998</v>
      </c>
      <c r="N112" s="14">
        <f t="shared" ca="1" si="16"/>
        <v>414.77439150000004</v>
      </c>
      <c r="O112" s="20">
        <f t="shared" ca="1" si="17"/>
        <v>4835.5779143127029</v>
      </c>
      <c r="P112" s="22" t="str">
        <f t="shared" ca="1" si="18"/>
        <v>SIM</v>
      </c>
      <c r="Q112" t="b">
        <f t="shared" ca="1" si="19"/>
        <v>1</v>
      </c>
      <c r="R112" t="str">
        <f t="shared" ca="1" si="20"/>
        <v>SIM</v>
      </c>
      <c r="S112" t="str">
        <f t="shared" ca="1" si="21"/>
        <v>SIM</v>
      </c>
    </row>
    <row r="113" spans="1:19">
      <c r="A113" s="7" t="s">
        <v>310</v>
      </c>
      <c r="B113" s="7" t="s">
        <v>311</v>
      </c>
      <c r="C113" s="29" t="s">
        <v>99</v>
      </c>
      <c r="D113" s="28" t="str">
        <f t="shared" si="11"/>
        <v>09/2025</v>
      </c>
      <c r="E113" s="8">
        <v>4851.12</v>
      </c>
      <c r="F113" s="18">
        <v>2.0499999999999998</v>
      </c>
      <c r="G113" s="9">
        <v>2</v>
      </c>
      <c r="H113" s="10">
        <v>4.2599999999999999E-2</v>
      </c>
      <c r="J113" s="12">
        <f t="shared" ca="1" si="12"/>
        <v>405</v>
      </c>
      <c r="K113" s="13">
        <f t="shared" ca="1" si="13"/>
        <v>13.5</v>
      </c>
      <c r="L113" s="14">
        <f t="shared" ca="1" si="14"/>
        <v>6379.9553585485019</v>
      </c>
      <c r="M113" s="14">
        <f t="shared" si="15"/>
        <v>97.022400000000005</v>
      </c>
      <c r="N113" s="14">
        <f t="shared" ca="1" si="16"/>
        <v>836.96373359999996</v>
      </c>
      <c r="O113" s="20">
        <f t="shared" ca="1" si="17"/>
        <v>7313.9414921485013</v>
      </c>
      <c r="P113" s="22" t="str">
        <f t="shared" ca="1" si="18"/>
        <v>SIM</v>
      </c>
      <c r="Q113" t="b">
        <f t="shared" ca="1" si="19"/>
        <v>1</v>
      </c>
      <c r="R113" t="str">
        <f t="shared" ca="1" si="20"/>
        <v>SIM</v>
      </c>
      <c r="S113" t="str">
        <f t="shared" ca="1" si="21"/>
        <v>SIM</v>
      </c>
    </row>
    <row r="114" spans="1:19">
      <c r="A114" s="3" t="s">
        <v>312</v>
      </c>
      <c r="B114" s="3" t="s">
        <v>313</v>
      </c>
      <c r="C114" s="28" t="s">
        <v>314</v>
      </c>
      <c r="D114" s="28" t="str">
        <f t="shared" si="11"/>
        <v>07/2026</v>
      </c>
      <c r="E114" s="4">
        <v>2354.52</v>
      </c>
      <c r="F114" s="17">
        <v>2.2599999999999998</v>
      </c>
      <c r="G114" s="5">
        <v>2</v>
      </c>
      <c r="H114" s="6">
        <v>4.1700000000000001E-2</v>
      </c>
      <c r="J114" s="12">
        <f t="shared" ca="1" si="12"/>
        <v>110</v>
      </c>
      <c r="K114" s="13">
        <f t="shared" ca="1" si="13"/>
        <v>3.6666666666666665</v>
      </c>
      <c r="L114" s="14">
        <f t="shared" ca="1" si="14"/>
        <v>2555.5846717078184</v>
      </c>
      <c r="M114" s="14">
        <f t="shared" si="15"/>
        <v>47.090400000000002</v>
      </c>
      <c r="N114" s="14">
        <f t="shared" ca="1" si="16"/>
        <v>108.00183240000001</v>
      </c>
      <c r="O114" s="20">
        <f t="shared" ca="1" si="17"/>
        <v>2710.6769041078187</v>
      </c>
      <c r="P114" s="22" t="str">
        <f t="shared" ca="1" si="18"/>
        <v>SIM</v>
      </c>
      <c r="Q114" t="b">
        <f t="shared" ca="1" si="19"/>
        <v>1</v>
      </c>
      <c r="R114" t="str">
        <f t="shared" ca="1" si="20"/>
        <v>SIM</v>
      </c>
      <c r="S114" t="str">
        <f t="shared" ca="1" si="21"/>
        <v>SIM</v>
      </c>
    </row>
    <row r="115" spans="1:19">
      <c r="A115" s="7" t="s">
        <v>315</v>
      </c>
      <c r="B115" s="7" t="s">
        <v>192</v>
      </c>
      <c r="C115" s="29" t="s">
        <v>316</v>
      </c>
      <c r="D115" s="28" t="str">
        <f t="shared" si="11"/>
        <v>05/2026</v>
      </c>
      <c r="E115" s="8">
        <v>4588.9799999999996</v>
      </c>
      <c r="F115" s="18">
        <v>2.92</v>
      </c>
      <c r="G115" s="9">
        <v>2</v>
      </c>
      <c r="H115" s="10">
        <v>3.1199999999999999E-2</v>
      </c>
      <c r="J115" s="12">
        <f t="shared" ca="1" si="12"/>
        <v>155</v>
      </c>
      <c r="K115" s="13">
        <f t="shared" ca="1" si="13"/>
        <v>5.166666666666667</v>
      </c>
      <c r="L115" s="14">
        <f t="shared" ca="1" si="14"/>
        <v>5324.7392922055205</v>
      </c>
      <c r="M115" s="14">
        <f t="shared" si="15"/>
        <v>91.779599999999988</v>
      </c>
      <c r="N115" s="14">
        <f t="shared" ca="1" si="16"/>
        <v>221.92307279999994</v>
      </c>
      <c r="O115" s="20">
        <f t="shared" ca="1" si="17"/>
        <v>5638.4419650055206</v>
      </c>
      <c r="P115" s="22" t="str">
        <f t="shared" ca="1" si="18"/>
        <v>SIM</v>
      </c>
      <c r="Q115" t="b">
        <f t="shared" ca="1" si="19"/>
        <v>1</v>
      </c>
      <c r="R115" t="str">
        <f t="shared" ca="1" si="20"/>
        <v>SIM</v>
      </c>
      <c r="S115" t="str">
        <f t="shared" ca="1" si="21"/>
        <v>SIM</v>
      </c>
    </row>
    <row r="116" spans="1:19">
      <c r="A116" s="3" t="s">
        <v>317</v>
      </c>
      <c r="B116" s="3" t="s">
        <v>318</v>
      </c>
      <c r="C116" s="28" t="s">
        <v>319</v>
      </c>
      <c r="D116" s="28" t="str">
        <f t="shared" si="11"/>
        <v>01/2026</v>
      </c>
      <c r="E116" s="4">
        <v>667.77</v>
      </c>
      <c r="F116" s="17">
        <v>1.67</v>
      </c>
      <c r="G116" s="5">
        <v>2</v>
      </c>
      <c r="H116" s="6">
        <v>3.3399999999999999E-2</v>
      </c>
      <c r="J116" s="12">
        <f t="shared" ca="1" si="12"/>
        <v>281</v>
      </c>
      <c r="K116" s="13">
        <f t="shared" ca="1" si="13"/>
        <v>9.3666666666666671</v>
      </c>
      <c r="L116" s="14">
        <f t="shared" ca="1" si="14"/>
        <v>779.82954462592386</v>
      </c>
      <c r="M116" s="14">
        <f t="shared" si="15"/>
        <v>13.355399999999999</v>
      </c>
      <c r="N116" s="14">
        <f t="shared" ca="1" si="16"/>
        <v>62.672885579999999</v>
      </c>
      <c r="O116" s="20">
        <f t="shared" ca="1" si="17"/>
        <v>855.85783020592385</v>
      </c>
      <c r="P116" s="22" t="str">
        <f t="shared" ca="1" si="18"/>
        <v>SIM</v>
      </c>
      <c r="Q116" t="b">
        <f t="shared" ca="1" si="19"/>
        <v>1</v>
      </c>
      <c r="R116" t="str">
        <f t="shared" ca="1" si="20"/>
        <v>SIM</v>
      </c>
      <c r="S116" t="str">
        <f t="shared" ca="1" si="21"/>
        <v>SIM</v>
      </c>
    </row>
    <row r="117" spans="1:19">
      <c r="A117" s="7" t="s">
        <v>320</v>
      </c>
      <c r="B117" s="7" t="s">
        <v>195</v>
      </c>
      <c r="C117" s="29" t="s">
        <v>249</v>
      </c>
      <c r="D117" s="28" t="str">
        <f t="shared" si="11"/>
        <v>04/2025</v>
      </c>
      <c r="E117" s="8">
        <v>1863.76</v>
      </c>
      <c r="F117" s="18">
        <v>2.17</v>
      </c>
      <c r="G117" s="9">
        <v>2</v>
      </c>
      <c r="H117" s="10">
        <v>3.1600000000000003E-2</v>
      </c>
      <c r="J117" s="12">
        <f t="shared" ca="1" si="12"/>
        <v>553</v>
      </c>
      <c r="K117" s="13">
        <f t="shared" ca="1" si="13"/>
        <v>18.433333333333334</v>
      </c>
      <c r="L117" s="14">
        <f t="shared" ca="1" si="14"/>
        <v>2768.5425630679797</v>
      </c>
      <c r="M117" s="14">
        <f t="shared" si="15"/>
        <v>37.275199999999998</v>
      </c>
      <c r="N117" s="14">
        <f t="shared" ca="1" si="16"/>
        <v>325.68833248000004</v>
      </c>
      <c r="O117" s="20">
        <f t="shared" ca="1" si="17"/>
        <v>3131.5060955479798</v>
      </c>
      <c r="P117" s="22" t="str">
        <f t="shared" ca="1" si="18"/>
        <v>SIM</v>
      </c>
      <c r="Q117" t="b">
        <f t="shared" ca="1" si="19"/>
        <v>1</v>
      </c>
      <c r="R117" t="str">
        <f t="shared" ca="1" si="20"/>
        <v>SIM</v>
      </c>
      <c r="S117" t="str">
        <f t="shared" ca="1" si="21"/>
        <v>SIM</v>
      </c>
    </row>
    <row r="118" spans="1:19">
      <c r="A118" s="3" t="s">
        <v>321</v>
      </c>
      <c r="B118" s="3" t="s">
        <v>322</v>
      </c>
      <c r="C118" s="28" t="s">
        <v>24</v>
      </c>
      <c r="D118" s="28" t="str">
        <f t="shared" si="11"/>
        <v>02/2025</v>
      </c>
      <c r="E118" s="4">
        <v>4933.12</v>
      </c>
      <c r="F118" s="17">
        <v>2.4</v>
      </c>
      <c r="G118" s="5">
        <v>2</v>
      </c>
      <c r="H118" s="6">
        <v>4.07E-2</v>
      </c>
      <c r="J118" s="12">
        <f t="shared" ca="1" si="12"/>
        <v>606</v>
      </c>
      <c r="K118" s="13">
        <f t="shared" ca="1" si="13"/>
        <v>20.2</v>
      </c>
      <c r="L118" s="14">
        <f t="shared" ca="1" si="14"/>
        <v>7964.9087393965056</v>
      </c>
      <c r="M118" s="14">
        <f t="shared" si="15"/>
        <v>98.662399999999991</v>
      </c>
      <c r="N118" s="14">
        <f t="shared" ca="1" si="16"/>
        <v>1216.71458304</v>
      </c>
      <c r="O118" s="20">
        <f t="shared" ca="1" si="17"/>
        <v>9280.2857224365052</v>
      </c>
      <c r="P118" s="22" t="str">
        <f t="shared" ca="1" si="18"/>
        <v>SIM</v>
      </c>
      <c r="Q118" t="b">
        <f t="shared" ca="1" si="19"/>
        <v>1</v>
      </c>
      <c r="R118" t="str">
        <f t="shared" ca="1" si="20"/>
        <v>SIM</v>
      </c>
      <c r="S118" t="str">
        <f t="shared" ca="1" si="21"/>
        <v>SIM</v>
      </c>
    </row>
    <row r="119" spans="1:19">
      <c r="A119" s="7" t="s">
        <v>323</v>
      </c>
      <c r="B119" s="7" t="s">
        <v>324</v>
      </c>
      <c r="C119" s="29" t="s">
        <v>325</v>
      </c>
      <c r="D119" s="28" t="str">
        <f t="shared" si="11"/>
        <v>05/2026</v>
      </c>
      <c r="E119" s="8">
        <v>1464.14</v>
      </c>
      <c r="F119" s="18">
        <v>1.27</v>
      </c>
      <c r="G119" s="9">
        <v>2</v>
      </c>
      <c r="H119" s="10">
        <v>3.15E-2</v>
      </c>
      <c r="J119" s="12">
        <f t="shared" ca="1" si="12"/>
        <v>162</v>
      </c>
      <c r="K119" s="13">
        <f t="shared" ca="1" si="13"/>
        <v>5.4</v>
      </c>
      <c r="L119" s="14">
        <f t="shared" ca="1" si="14"/>
        <v>1567.3968856868796</v>
      </c>
      <c r="M119" s="14">
        <f t="shared" si="15"/>
        <v>29.282800000000002</v>
      </c>
      <c r="N119" s="14">
        <f t="shared" ca="1" si="16"/>
        <v>74.715064200000015</v>
      </c>
      <c r="O119" s="20">
        <f t="shared" ca="1" si="17"/>
        <v>1671.3947498868795</v>
      </c>
      <c r="P119" s="22" t="str">
        <f t="shared" ca="1" si="18"/>
        <v>SIM</v>
      </c>
      <c r="Q119" t="b">
        <f t="shared" ca="1" si="19"/>
        <v>1</v>
      </c>
      <c r="R119" t="str">
        <f t="shared" ca="1" si="20"/>
        <v>SIM</v>
      </c>
      <c r="S119" t="str">
        <f t="shared" ca="1" si="21"/>
        <v>SIM</v>
      </c>
    </row>
    <row r="120" spans="1:19">
      <c r="A120" s="3" t="s">
        <v>326</v>
      </c>
      <c r="B120" s="3" t="s">
        <v>42</v>
      </c>
      <c r="C120" s="28" t="s">
        <v>327</v>
      </c>
      <c r="D120" s="28" t="str">
        <f t="shared" si="11"/>
        <v>02/2026</v>
      </c>
      <c r="E120" s="4">
        <v>2170.6999999999998</v>
      </c>
      <c r="F120" s="17">
        <v>2.16</v>
      </c>
      <c r="G120" s="5">
        <v>2</v>
      </c>
      <c r="H120" s="6">
        <v>4.8399999999999999E-2</v>
      </c>
      <c r="J120" s="12">
        <f t="shared" ca="1" si="12"/>
        <v>243</v>
      </c>
      <c r="K120" s="13">
        <f t="shared" ca="1" si="13"/>
        <v>8.1</v>
      </c>
      <c r="L120" s="14">
        <f t="shared" ca="1" si="14"/>
        <v>2580.9225296247473</v>
      </c>
      <c r="M120" s="14">
        <f t="shared" si="15"/>
        <v>43.413999999999994</v>
      </c>
      <c r="N120" s="14">
        <f t="shared" ca="1" si="16"/>
        <v>255.30036839999997</v>
      </c>
      <c r="O120" s="20">
        <f t="shared" ca="1" si="17"/>
        <v>2879.6368980247476</v>
      </c>
      <c r="P120" s="22" t="str">
        <f t="shared" ca="1" si="18"/>
        <v>SIM</v>
      </c>
      <c r="Q120" t="b">
        <f t="shared" ca="1" si="19"/>
        <v>1</v>
      </c>
      <c r="R120" t="str">
        <f t="shared" ca="1" si="20"/>
        <v>SIM</v>
      </c>
      <c r="S120" t="str">
        <f t="shared" ca="1" si="21"/>
        <v>SIM</v>
      </c>
    </row>
    <row r="121" spans="1:19">
      <c r="A121" s="7" t="s">
        <v>328</v>
      </c>
      <c r="B121" s="7" t="s">
        <v>329</v>
      </c>
      <c r="C121" s="29" t="s">
        <v>288</v>
      </c>
      <c r="D121" s="28" t="str">
        <f t="shared" si="11"/>
        <v>02/2025</v>
      </c>
      <c r="E121" s="8">
        <v>4401.8100000000004</v>
      </c>
      <c r="F121" s="18">
        <v>2.1</v>
      </c>
      <c r="G121" s="9">
        <v>2</v>
      </c>
      <c r="H121" s="10">
        <v>3.3300000000000003E-2</v>
      </c>
      <c r="J121" s="12">
        <f t="shared" ca="1" si="12"/>
        <v>617</v>
      </c>
      <c r="K121" s="13">
        <f t="shared" ca="1" si="13"/>
        <v>20.566666666666666</v>
      </c>
      <c r="L121" s="14">
        <f t="shared" ca="1" si="14"/>
        <v>6749.3309120309705</v>
      </c>
      <c r="M121" s="14">
        <f t="shared" si="15"/>
        <v>88.036200000000008</v>
      </c>
      <c r="N121" s="14">
        <f t="shared" ca="1" si="16"/>
        <v>904.40028441000015</v>
      </c>
      <c r="O121" s="20">
        <f t="shared" ca="1" si="17"/>
        <v>7741.7673964409705</v>
      </c>
      <c r="P121" s="22" t="str">
        <f t="shared" ca="1" si="18"/>
        <v>SIM</v>
      </c>
      <c r="Q121" t="b">
        <f t="shared" ca="1" si="19"/>
        <v>1</v>
      </c>
      <c r="R121" t="str">
        <f t="shared" ca="1" si="20"/>
        <v>SIM</v>
      </c>
      <c r="S121" t="str">
        <f t="shared" ca="1" si="21"/>
        <v>SIM</v>
      </c>
    </row>
    <row r="122" spans="1:19">
      <c r="A122" s="3" t="s">
        <v>330</v>
      </c>
      <c r="B122" s="3" t="s">
        <v>331</v>
      </c>
      <c r="C122" s="28" t="s">
        <v>332</v>
      </c>
      <c r="D122" s="28" t="str">
        <f t="shared" si="11"/>
        <v>01/2026</v>
      </c>
      <c r="E122" s="4">
        <v>2479.79</v>
      </c>
      <c r="F122" s="17">
        <v>2.97</v>
      </c>
      <c r="G122" s="5">
        <v>2</v>
      </c>
      <c r="H122" s="6">
        <v>3.7499999999999999E-2</v>
      </c>
      <c r="J122" s="12">
        <f t="shared" ca="1" si="12"/>
        <v>276</v>
      </c>
      <c r="K122" s="13">
        <f t="shared" ca="1" si="13"/>
        <v>9.1999999999999993</v>
      </c>
      <c r="L122" s="14">
        <f t="shared" ca="1" si="14"/>
        <v>3246.0369680638873</v>
      </c>
      <c r="M122" s="14">
        <f t="shared" si="15"/>
        <v>49.595799999999997</v>
      </c>
      <c r="N122" s="14">
        <f t="shared" ca="1" si="16"/>
        <v>256.65826500000003</v>
      </c>
      <c r="O122" s="20">
        <f t="shared" ca="1" si="17"/>
        <v>3552.2910330638874</v>
      </c>
      <c r="P122" s="22" t="str">
        <f t="shared" ca="1" si="18"/>
        <v>SIM</v>
      </c>
      <c r="Q122" t="b">
        <f t="shared" ca="1" si="19"/>
        <v>1</v>
      </c>
      <c r="R122" t="str">
        <f t="shared" ca="1" si="20"/>
        <v>SIM</v>
      </c>
      <c r="S122" t="str">
        <f t="shared" ca="1" si="21"/>
        <v>SIM</v>
      </c>
    </row>
    <row r="123" spans="1:19">
      <c r="A123" s="7" t="s">
        <v>333</v>
      </c>
      <c r="B123" s="7" t="s">
        <v>34</v>
      </c>
      <c r="C123" s="29" t="s">
        <v>334</v>
      </c>
      <c r="D123" s="28" t="str">
        <f t="shared" si="11"/>
        <v>11/2025</v>
      </c>
      <c r="E123" s="8">
        <v>4854.08</v>
      </c>
      <c r="F123" s="18">
        <v>2.68</v>
      </c>
      <c r="G123" s="9">
        <v>2</v>
      </c>
      <c r="H123" s="10">
        <v>4.6800000000000001E-2</v>
      </c>
      <c r="J123" s="12">
        <f t="shared" ca="1" si="12"/>
        <v>344</v>
      </c>
      <c r="K123" s="13">
        <f t="shared" ca="1" si="13"/>
        <v>11.466666666666667</v>
      </c>
      <c r="L123" s="14">
        <f t="shared" ca="1" si="14"/>
        <v>6573.7238716089259</v>
      </c>
      <c r="M123" s="14">
        <f t="shared" si="15"/>
        <v>97.081599999999995</v>
      </c>
      <c r="N123" s="14">
        <f t="shared" ca="1" si="16"/>
        <v>781.46804736000001</v>
      </c>
      <c r="O123" s="20">
        <f t="shared" ca="1" si="17"/>
        <v>7452.2735189689265</v>
      </c>
      <c r="P123" s="22" t="str">
        <f t="shared" ca="1" si="18"/>
        <v>SIM</v>
      </c>
      <c r="Q123" t="b">
        <f t="shared" ca="1" si="19"/>
        <v>1</v>
      </c>
      <c r="R123" t="str">
        <f t="shared" ca="1" si="20"/>
        <v>SIM</v>
      </c>
      <c r="S123" t="str">
        <f t="shared" ca="1" si="21"/>
        <v>SIM</v>
      </c>
    </row>
    <row r="124" spans="1:19">
      <c r="A124" s="3" t="s">
        <v>335</v>
      </c>
      <c r="B124" s="3" t="s">
        <v>336</v>
      </c>
      <c r="C124" s="28" t="s">
        <v>337</v>
      </c>
      <c r="D124" s="28" t="str">
        <f t="shared" si="11"/>
        <v>09/2026</v>
      </c>
      <c r="E124" s="4">
        <v>2161.87</v>
      </c>
      <c r="F124" s="17">
        <v>1.55</v>
      </c>
      <c r="G124" s="5">
        <v>2</v>
      </c>
      <c r="H124" s="6">
        <v>3.1099999999999999E-2</v>
      </c>
      <c r="J124" s="12">
        <f t="shared" ca="1" si="12"/>
        <v>32</v>
      </c>
      <c r="K124" s="13">
        <f t="shared" ca="1" si="13"/>
        <v>1.0666666666666667</v>
      </c>
      <c r="L124" s="14">
        <f t="shared" ca="1" si="14"/>
        <v>2197.6312961156204</v>
      </c>
      <c r="M124" s="14">
        <f t="shared" si="15"/>
        <v>43.237400000000001</v>
      </c>
      <c r="N124" s="14">
        <f t="shared" ca="1" si="16"/>
        <v>21.514930239999998</v>
      </c>
      <c r="O124" s="20">
        <f t="shared" ca="1" si="17"/>
        <v>2262.3836263556204</v>
      </c>
      <c r="P124" s="22" t="str">
        <f t="shared" ca="1" si="18"/>
        <v>NÃO</v>
      </c>
      <c r="Q124" t="b">
        <f t="shared" ca="1" si="19"/>
        <v>1</v>
      </c>
      <c r="R124" t="str">
        <f t="shared" ca="1" si="20"/>
        <v>NÃO</v>
      </c>
      <c r="S124" t="str">
        <f t="shared" ca="1" si="21"/>
        <v>NÃO</v>
      </c>
    </row>
    <row r="125" spans="1:19">
      <c r="A125" s="7" t="s">
        <v>338</v>
      </c>
      <c r="B125" s="7" t="s">
        <v>339</v>
      </c>
      <c r="C125" s="29" t="s">
        <v>340</v>
      </c>
      <c r="D125" s="28" t="str">
        <f t="shared" si="11"/>
        <v>07/2026</v>
      </c>
      <c r="E125" s="8">
        <v>4092.57</v>
      </c>
      <c r="F125" s="18">
        <v>3</v>
      </c>
      <c r="G125" s="9">
        <v>2</v>
      </c>
      <c r="H125" s="10">
        <v>4.99E-2</v>
      </c>
      <c r="J125" s="12">
        <f t="shared" ca="1" si="12"/>
        <v>105</v>
      </c>
      <c r="K125" s="13">
        <f t="shared" ca="1" si="13"/>
        <v>3.5</v>
      </c>
      <c r="L125" s="14">
        <f t="shared" ca="1" si="14"/>
        <v>4538.6469655317924</v>
      </c>
      <c r="M125" s="14">
        <f t="shared" si="15"/>
        <v>81.851399999999998</v>
      </c>
      <c r="N125" s="14">
        <f t="shared" ca="1" si="16"/>
        <v>214.43020515000001</v>
      </c>
      <c r="O125" s="20">
        <f t="shared" ca="1" si="17"/>
        <v>4834.9285706817918</v>
      </c>
      <c r="P125" s="22" t="str">
        <f t="shared" ca="1" si="18"/>
        <v>SIM</v>
      </c>
      <c r="Q125" t="b">
        <f t="shared" ca="1" si="19"/>
        <v>1</v>
      </c>
      <c r="R125" t="str">
        <f t="shared" ca="1" si="20"/>
        <v>SIM</v>
      </c>
      <c r="S125" t="str">
        <f t="shared" ca="1" si="21"/>
        <v>SIM</v>
      </c>
    </row>
    <row r="126" spans="1:19">
      <c r="A126" s="3" t="s">
        <v>341</v>
      </c>
      <c r="B126" s="3" t="s">
        <v>342</v>
      </c>
      <c r="C126" s="28" t="s">
        <v>343</v>
      </c>
      <c r="D126" s="28" t="str">
        <f t="shared" si="11"/>
        <v>04/2026</v>
      </c>
      <c r="E126" s="4">
        <v>3879.59</v>
      </c>
      <c r="F126" s="17">
        <v>2.89</v>
      </c>
      <c r="G126" s="5">
        <v>2</v>
      </c>
      <c r="H126" s="6">
        <v>4.7E-2</v>
      </c>
      <c r="J126" s="12">
        <f t="shared" ca="1" si="12"/>
        <v>191</v>
      </c>
      <c r="K126" s="13">
        <f t="shared" ca="1" si="13"/>
        <v>6.3666666666666663</v>
      </c>
      <c r="L126" s="14">
        <f t="shared" ca="1" si="14"/>
        <v>4651.164102194437</v>
      </c>
      <c r="M126" s="14">
        <f t="shared" si="15"/>
        <v>77.591800000000006</v>
      </c>
      <c r="N126" s="14">
        <f t="shared" ca="1" si="16"/>
        <v>348.27079430000003</v>
      </c>
      <c r="O126" s="20">
        <f t="shared" ca="1" si="17"/>
        <v>5077.0266964944367</v>
      </c>
      <c r="P126" s="22" t="str">
        <f t="shared" ca="1" si="18"/>
        <v>SIM</v>
      </c>
      <c r="Q126" t="b">
        <f t="shared" ca="1" si="19"/>
        <v>1</v>
      </c>
      <c r="R126" t="str">
        <f t="shared" ca="1" si="20"/>
        <v>SIM</v>
      </c>
      <c r="S126" t="str">
        <f t="shared" ca="1" si="21"/>
        <v>SIM</v>
      </c>
    </row>
    <row r="127" spans="1:19">
      <c r="A127" s="7" t="s">
        <v>344</v>
      </c>
      <c r="B127" s="7" t="s">
        <v>345</v>
      </c>
      <c r="C127" s="29" t="s">
        <v>346</v>
      </c>
      <c r="D127" s="28" t="str">
        <f t="shared" si="11"/>
        <v>06/2025</v>
      </c>
      <c r="E127" s="8">
        <v>2335.14</v>
      </c>
      <c r="F127" s="18">
        <v>1.26</v>
      </c>
      <c r="G127" s="9">
        <v>2</v>
      </c>
      <c r="H127" s="10">
        <v>4.9099999999999998E-2</v>
      </c>
      <c r="J127" s="12">
        <f t="shared" ca="1" si="12"/>
        <v>485</v>
      </c>
      <c r="K127" s="13">
        <f t="shared" ca="1" si="13"/>
        <v>16.166666666666668</v>
      </c>
      <c r="L127" s="14">
        <f t="shared" ca="1" si="14"/>
        <v>2859.0780577917653</v>
      </c>
      <c r="M127" s="14">
        <f t="shared" si="15"/>
        <v>46.702799999999996</v>
      </c>
      <c r="N127" s="14">
        <f t="shared" ca="1" si="16"/>
        <v>556.07856389999995</v>
      </c>
      <c r="O127" s="20">
        <f t="shared" ca="1" si="17"/>
        <v>3461.8594216917654</v>
      </c>
      <c r="P127" s="22" t="str">
        <f t="shared" ca="1" si="18"/>
        <v>SIM</v>
      </c>
      <c r="Q127" t="b">
        <f t="shared" ca="1" si="19"/>
        <v>1</v>
      </c>
      <c r="R127" t="str">
        <f t="shared" ca="1" si="20"/>
        <v>SIM</v>
      </c>
      <c r="S127" t="str">
        <f t="shared" ca="1" si="21"/>
        <v>SIM</v>
      </c>
    </row>
    <row r="128" spans="1:19">
      <c r="A128" s="3" t="s">
        <v>347</v>
      </c>
      <c r="B128" s="3" t="s">
        <v>348</v>
      </c>
      <c r="C128" s="28" t="s">
        <v>324</v>
      </c>
      <c r="D128" s="28" t="str">
        <f t="shared" si="11"/>
        <v>04/2026</v>
      </c>
      <c r="E128" s="4">
        <v>3407.75</v>
      </c>
      <c r="F128" s="17">
        <v>2.2400000000000002</v>
      </c>
      <c r="G128" s="5">
        <v>2</v>
      </c>
      <c r="H128" s="6">
        <v>3.7199999999999997E-2</v>
      </c>
      <c r="J128" s="12">
        <f t="shared" ca="1" si="12"/>
        <v>204</v>
      </c>
      <c r="K128" s="13">
        <f t="shared" ca="1" si="13"/>
        <v>6.8</v>
      </c>
      <c r="L128" s="14">
        <f t="shared" ca="1" si="14"/>
        <v>3961.7716874226435</v>
      </c>
      <c r="M128" s="14">
        <f t="shared" si="15"/>
        <v>68.155000000000001</v>
      </c>
      <c r="N128" s="14">
        <f t="shared" ca="1" si="16"/>
        <v>258.60733199999999</v>
      </c>
      <c r="O128" s="20">
        <f t="shared" ca="1" si="17"/>
        <v>4288.5340194226437</v>
      </c>
      <c r="P128" s="22" t="str">
        <f t="shared" ca="1" si="18"/>
        <v>SIM</v>
      </c>
      <c r="Q128" t="b">
        <f t="shared" ca="1" si="19"/>
        <v>1</v>
      </c>
      <c r="R128" t="str">
        <f t="shared" ca="1" si="20"/>
        <v>SIM</v>
      </c>
      <c r="S128" t="str">
        <f t="shared" ca="1" si="21"/>
        <v>SIM</v>
      </c>
    </row>
    <row r="129" spans="1:19">
      <c r="A129" s="7" t="s">
        <v>349</v>
      </c>
      <c r="B129" s="7" t="s">
        <v>350</v>
      </c>
      <c r="C129" s="29" t="s">
        <v>351</v>
      </c>
      <c r="D129" s="28" t="str">
        <f t="shared" si="11"/>
        <v>04/2025</v>
      </c>
      <c r="E129" s="8">
        <v>3407.13</v>
      </c>
      <c r="F129" s="18">
        <v>2.04</v>
      </c>
      <c r="G129" s="9">
        <v>2</v>
      </c>
      <c r="H129" s="10">
        <v>4.5400000000000003E-2</v>
      </c>
      <c r="J129" s="12">
        <f t="shared" ca="1" si="12"/>
        <v>572</v>
      </c>
      <c r="K129" s="13">
        <f t="shared" ca="1" si="13"/>
        <v>19.066666666666666</v>
      </c>
      <c r="L129" s="14">
        <f t="shared" ca="1" si="14"/>
        <v>5007.3961373803186</v>
      </c>
      <c r="M129" s="14">
        <f t="shared" si="15"/>
        <v>68.142600000000002</v>
      </c>
      <c r="N129" s="14">
        <f t="shared" ca="1" si="16"/>
        <v>884.79077544000006</v>
      </c>
      <c r="O129" s="20">
        <f t="shared" ca="1" si="17"/>
        <v>5960.329512820319</v>
      </c>
      <c r="P129" s="22" t="str">
        <f t="shared" ca="1" si="18"/>
        <v>SIM</v>
      </c>
      <c r="Q129" t="b">
        <f t="shared" ca="1" si="19"/>
        <v>1</v>
      </c>
      <c r="R129" t="str">
        <f t="shared" ca="1" si="20"/>
        <v>SIM</v>
      </c>
      <c r="S129" t="str">
        <f t="shared" ca="1" si="21"/>
        <v>SIM</v>
      </c>
    </row>
    <row r="130" spans="1:19">
      <c r="A130" s="3" t="s">
        <v>352</v>
      </c>
      <c r="B130" s="3" t="s">
        <v>353</v>
      </c>
      <c r="C130" s="28" t="s">
        <v>116</v>
      </c>
      <c r="D130" s="28" t="str">
        <f t="shared" si="11"/>
        <v>11/2025</v>
      </c>
      <c r="E130" s="4">
        <v>4109.47</v>
      </c>
      <c r="F130" s="17">
        <v>2.94</v>
      </c>
      <c r="G130" s="5">
        <v>2</v>
      </c>
      <c r="H130" s="6">
        <v>3.1800000000000002E-2</v>
      </c>
      <c r="J130" s="12">
        <f t="shared" ca="1" si="12"/>
        <v>333</v>
      </c>
      <c r="K130" s="13">
        <f t="shared" ca="1" si="13"/>
        <v>11.1</v>
      </c>
      <c r="L130" s="14">
        <f t="shared" ca="1" si="14"/>
        <v>5668.5245751061984</v>
      </c>
      <c r="M130" s="14">
        <f t="shared" si="15"/>
        <v>82.189400000000006</v>
      </c>
      <c r="N130" s="14">
        <f t="shared" ca="1" si="16"/>
        <v>435.16821618</v>
      </c>
      <c r="O130" s="20">
        <f t="shared" ca="1" si="17"/>
        <v>6185.8821912861986</v>
      </c>
      <c r="P130" s="22" t="str">
        <f t="shared" ca="1" si="18"/>
        <v>SIM</v>
      </c>
      <c r="Q130" t="b">
        <f t="shared" ca="1" si="19"/>
        <v>1</v>
      </c>
      <c r="R130" t="str">
        <f t="shared" ca="1" si="20"/>
        <v>SIM</v>
      </c>
      <c r="S130" t="str">
        <f t="shared" ca="1" si="21"/>
        <v>SIM</v>
      </c>
    </row>
    <row r="131" spans="1:19">
      <c r="A131" s="7" t="s">
        <v>354</v>
      </c>
      <c r="B131" s="7" t="s">
        <v>355</v>
      </c>
      <c r="C131" s="29" t="s">
        <v>356</v>
      </c>
      <c r="D131" s="28" t="str">
        <f t="shared" si="11"/>
        <v>03/2026</v>
      </c>
      <c r="E131" s="8">
        <v>2478.2199999999998</v>
      </c>
      <c r="F131" s="18">
        <v>1.84</v>
      </c>
      <c r="G131" s="9">
        <v>2</v>
      </c>
      <c r="H131" s="10">
        <v>4.5699999999999998E-2</v>
      </c>
      <c r="J131" s="12">
        <f t="shared" ca="1" si="12"/>
        <v>234</v>
      </c>
      <c r="K131" s="13">
        <f t="shared" ca="1" si="13"/>
        <v>7.8</v>
      </c>
      <c r="L131" s="14">
        <f t="shared" ca="1" si="14"/>
        <v>2856.954373300026</v>
      </c>
      <c r="M131" s="14">
        <f t="shared" si="15"/>
        <v>49.564399999999999</v>
      </c>
      <c r="N131" s="14">
        <f t="shared" ca="1" si="16"/>
        <v>265.01589035999996</v>
      </c>
      <c r="O131" s="20">
        <f t="shared" ca="1" si="17"/>
        <v>3171.5346636600261</v>
      </c>
      <c r="P131" s="22" t="str">
        <f t="shared" ca="1" si="18"/>
        <v>SIM</v>
      </c>
      <c r="Q131" t="b">
        <f t="shared" ca="1" si="19"/>
        <v>1</v>
      </c>
      <c r="R131" t="str">
        <f t="shared" ca="1" si="20"/>
        <v>SIM</v>
      </c>
      <c r="S131" t="str">
        <f t="shared" ca="1" si="21"/>
        <v>SIM</v>
      </c>
    </row>
    <row r="132" spans="1:19">
      <c r="A132" s="3" t="s">
        <v>357</v>
      </c>
      <c r="B132" s="3" t="s">
        <v>358</v>
      </c>
      <c r="C132" s="28" t="s">
        <v>359</v>
      </c>
      <c r="D132" s="28" t="str">
        <f t="shared" si="11"/>
        <v>08/2026</v>
      </c>
      <c r="E132" s="4">
        <v>1182.8800000000001</v>
      </c>
      <c r="F132" s="17">
        <v>1.27</v>
      </c>
      <c r="G132" s="5">
        <v>2</v>
      </c>
      <c r="H132" s="6">
        <v>3.0300000000000001E-2</v>
      </c>
      <c r="J132" s="12">
        <f t="shared" ca="1" si="12"/>
        <v>62</v>
      </c>
      <c r="K132" s="13">
        <f t="shared" ca="1" si="13"/>
        <v>2.0666666666666669</v>
      </c>
      <c r="L132" s="14">
        <f t="shared" ca="1" si="14"/>
        <v>1214.1370055971838</v>
      </c>
      <c r="M132" s="14">
        <f t="shared" si="15"/>
        <v>23.657600000000002</v>
      </c>
      <c r="N132" s="14">
        <f t="shared" ca="1" si="16"/>
        <v>22.221583680000002</v>
      </c>
      <c r="O132" s="20">
        <f t="shared" ca="1" si="17"/>
        <v>1260.0161892771839</v>
      </c>
      <c r="P132" s="22" t="str">
        <f t="shared" ca="1" si="18"/>
        <v>NÃO</v>
      </c>
      <c r="Q132" t="b">
        <f t="shared" ca="1" si="19"/>
        <v>1</v>
      </c>
      <c r="R132" t="str">
        <f t="shared" ca="1" si="20"/>
        <v>NÃO</v>
      </c>
      <c r="S132" t="str">
        <f t="shared" ca="1" si="21"/>
        <v>NÃO</v>
      </c>
    </row>
    <row r="133" spans="1:19">
      <c r="A133" s="7" t="s">
        <v>360</v>
      </c>
      <c r="B133" s="7" t="s">
        <v>353</v>
      </c>
      <c r="C133" s="29" t="s">
        <v>361</v>
      </c>
      <c r="D133" s="28" t="str">
        <f t="shared" ref="D133:D196" si="22">MID(C133,4,7)</f>
        <v>11/2025</v>
      </c>
      <c r="E133" s="8">
        <v>3237.72</v>
      </c>
      <c r="F133" s="18">
        <v>2.11</v>
      </c>
      <c r="G133" s="9">
        <v>2</v>
      </c>
      <c r="H133" s="10">
        <v>3.1800000000000002E-2</v>
      </c>
      <c r="J133" s="12">
        <f t="shared" ref="J133:J196" ca="1" si="23">I$4-C133</f>
        <v>343</v>
      </c>
      <c r="K133" s="13">
        <f t="shared" ref="K133:K196" ca="1" si="24">J133/30</f>
        <v>11.433333333333334</v>
      </c>
      <c r="L133" s="14">
        <f t="shared" ref="L133:L196" ca="1" si="25">E133*POWER(1+F133/100,K133)</f>
        <v>4110.7390863704413</v>
      </c>
      <c r="M133" s="14">
        <f t="shared" ref="M133:M196" si="26">E133*G133/100</f>
        <v>64.75439999999999</v>
      </c>
      <c r="N133" s="14">
        <f t="shared" ref="N133:N196" ca="1" si="27">E133*H133/100*J133</f>
        <v>353.15107128</v>
      </c>
      <c r="O133" s="20">
        <f t="shared" ref="O133:O196" ca="1" si="28">L133+M133+N133</f>
        <v>4528.6445576504411</v>
      </c>
      <c r="P133" s="22" t="str">
        <f t="shared" ref="P133:P196" ca="1" si="29">IF(J133&gt;=90,"SIM","NÃO")</f>
        <v>SIM</v>
      </c>
      <c r="Q133" t="b">
        <f t="shared" ref="Q133:Q196" ca="1" si="30">O133&gt;300</f>
        <v>1</v>
      </c>
      <c r="R133" t="str">
        <f t="shared" ref="R133:R196" ca="1" si="31">IF(AND(P133="SIM",Q133=TRUE), "SIM","NÃO")</f>
        <v>SIM</v>
      </c>
      <c r="S133" t="str">
        <f t="shared" ref="S133:S196" ca="1" si="32">IF(OR(P133="SIM",YEAR(TODAY())-YEAR(C133)&gt;=1), "SIM", "NÃO")</f>
        <v>SIM</v>
      </c>
    </row>
    <row r="134" spans="1:19">
      <c r="A134" s="3" t="s">
        <v>362</v>
      </c>
      <c r="B134" s="3" t="s">
        <v>363</v>
      </c>
      <c r="C134" s="28" t="s">
        <v>364</v>
      </c>
      <c r="D134" s="28" t="str">
        <f t="shared" si="22"/>
        <v>12/2025</v>
      </c>
      <c r="E134" s="4">
        <v>2642.85</v>
      </c>
      <c r="F134" s="17">
        <v>2.57</v>
      </c>
      <c r="G134" s="5">
        <v>2</v>
      </c>
      <c r="H134" s="6">
        <v>3.7900000000000003E-2</v>
      </c>
      <c r="J134" s="12">
        <f t="shared" ca="1" si="23"/>
        <v>318</v>
      </c>
      <c r="K134" s="13">
        <f t="shared" ca="1" si="24"/>
        <v>10.6</v>
      </c>
      <c r="L134" s="14">
        <f t="shared" ca="1" si="25"/>
        <v>3458.504006242702</v>
      </c>
      <c r="M134" s="14">
        <f t="shared" si="26"/>
        <v>52.856999999999999</v>
      </c>
      <c r="N134" s="14">
        <f t="shared" ca="1" si="27"/>
        <v>318.52156769999999</v>
      </c>
      <c r="O134" s="20">
        <f t="shared" ca="1" si="28"/>
        <v>3829.882573942702</v>
      </c>
      <c r="P134" s="22" t="str">
        <f t="shared" ca="1" si="29"/>
        <v>SIM</v>
      </c>
      <c r="Q134" t="b">
        <f t="shared" ca="1" si="30"/>
        <v>1</v>
      </c>
      <c r="R134" t="str">
        <f t="shared" ca="1" si="31"/>
        <v>SIM</v>
      </c>
      <c r="S134" t="str">
        <f t="shared" ca="1" si="32"/>
        <v>SIM</v>
      </c>
    </row>
    <row r="135" spans="1:19">
      <c r="A135" s="7" t="s">
        <v>365</v>
      </c>
      <c r="B135" s="7" t="s">
        <v>366</v>
      </c>
      <c r="C135" s="29" t="s">
        <v>367</v>
      </c>
      <c r="D135" s="28" t="str">
        <f t="shared" si="22"/>
        <v>05/2025</v>
      </c>
      <c r="E135" s="8">
        <v>3533.56</v>
      </c>
      <c r="F135" s="18">
        <v>2.59</v>
      </c>
      <c r="G135" s="9">
        <v>2</v>
      </c>
      <c r="H135" s="10">
        <v>3.9199999999999999E-2</v>
      </c>
      <c r="J135" s="12">
        <f t="shared" ca="1" si="23"/>
        <v>526</v>
      </c>
      <c r="K135" s="13">
        <f t="shared" ca="1" si="24"/>
        <v>17.533333333333335</v>
      </c>
      <c r="L135" s="14">
        <f t="shared" ca="1" si="25"/>
        <v>5532.490278750347</v>
      </c>
      <c r="M135" s="14">
        <f t="shared" si="26"/>
        <v>70.671199999999999</v>
      </c>
      <c r="N135" s="14">
        <f t="shared" ca="1" si="27"/>
        <v>728.59180351999987</v>
      </c>
      <c r="O135" s="20">
        <f t="shared" ca="1" si="28"/>
        <v>6331.753282270347</v>
      </c>
      <c r="P135" s="22" t="str">
        <f t="shared" ca="1" si="29"/>
        <v>SIM</v>
      </c>
      <c r="Q135" t="b">
        <f t="shared" ca="1" si="30"/>
        <v>1</v>
      </c>
      <c r="R135" t="str">
        <f t="shared" ca="1" si="31"/>
        <v>SIM</v>
      </c>
      <c r="S135" t="str">
        <f t="shared" ca="1" si="32"/>
        <v>SIM</v>
      </c>
    </row>
    <row r="136" spans="1:19">
      <c r="A136" s="3" t="s">
        <v>368</v>
      </c>
      <c r="B136" s="3" t="s">
        <v>355</v>
      </c>
      <c r="C136" s="28" t="s">
        <v>369</v>
      </c>
      <c r="D136" s="28" t="str">
        <f t="shared" si="22"/>
        <v>03/2026</v>
      </c>
      <c r="E136" s="4">
        <v>3879.25</v>
      </c>
      <c r="F136" s="17">
        <v>1.1299999999999999</v>
      </c>
      <c r="G136" s="5">
        <v>2</v>
      </c>
      <c r="H136" s="6">
        <v>3.09E-2</v>
      </c>
      <c r="J136" s="12">
        <f t="shared" ca="1" si="23"/>
        <v>240</v>
      </c>
      <c r="K136" s="13">
        <f t="shared" ca="1" si="24"/>
        <v>8</v>
      </c>
      <c r="L136" s="14">
        <f t="shared" ca="1" si="25"/>
        <v>4244.1216799303784</v>
      </c>
      <c r="M136" s="14">
        <f t="shared" si="26"/>
        <v>77.584999999999994</v>
      </c>
      <c r="N136" s="14">
        <f t="shared" ca="1" si="27"/>
        <v>287.68518</v>
      </c>
      <c r="O136" s="20">
        <f t="shared" ca="1" si="28"/>
        <v>4609.3918599303788</v>
      </c>
      <c r="P136" s="22" t="str">
        <f t="shared" ca="1" si="29"/>
        <v>SIM</v>
      </c>
      <c r="Q136" t="b">
        <f t="shared" ca="1" si="30"/>
        <v>1</v>
      </c>
      <c r="R136" t="str">
        <f t="shared" ca="1" si="31"/>
        <v>SIM</v>
      </c>
      <c r="S136" t="str">
        <f t="shared" ca="1" si="32"/>
        <v>SIM</v>
      </c>
    </row>
    <row r="137" spans="1:19">
      <c r="A137" s="7" t="s">
        <v>370</v>
      </c>
      <c r="B137" s="7" t="s">
        <v>371</v>
      </c>
      <c r="C137" s="29" t="s">
        <v>372</v>
      </c>
      <c r="D137" s="28" t="str">
        <f t="shared" si="22"/>
        <v>03/2025</v>
      </c>
      <c r="E137" s="8">
        <v>1744.45</v>
      </c>
      <c r="F137" s="18">
        <v>2.27</v>
      </c>
      <c r="G137" s="9">
        <v>2</v>
      </c>
      <c r="H137" s="10">
        <v>3.4799999999999998E-2</v>
      </c>
      <c r="J137" s="12">
        <f t="shared" ca="1" si="23"/>
        <v>596</v>
      </c>
      <c r="K137" s="13">
        <f t="shared" ca="1" si="24"/>
        <v>19.866666666666667</v>
      </c>
      <c r="L137" s="14">
        <f t="shared" ca="1" si="25"/>
        <v>2724.7325353848933</v>
      </c>
      <c r="M137" s="14">
        <f t="shared" si="26"/>
        <v>34.889000000000003</v>
      </c>
      <c r="N137" s="14">
        <f t="shared" ca="1" si="27"/>
        <v>361.81288559999996</v>
      </c>
      <c r="O137" s="20">
        <f t="shared" ca="1" si="28"/>
        <v>3121.4344209848932</v>
      </c>
      <c r="P137" s="22" t="str">
        <f t="shared" ca="1" si="29"/>
        <v>SIM</v>
      </c>
      <c r="Q137" t="b">
        <f t="shared" ca="1" si="30"/>
        <v>1</v>
      </c>
      <c r="R137" t="str">
        <f t="shared" ca="1" si="31"/>
        <v>SIM</v>
      </c>
      <c r="S137" t="str">
        <f t="shared" ca="1" si="32"/>
        <v>SIM</v>
      </c>
    </row>
    <row r="138" spans="1:19">
      <c r="A138" s="3" t="s">
        <v>373</v>
      </c>
      <c r="B138" s="3" t="s">
        <v>374</v>
      </c>
      <c r="C138" s="28" t="s">
        <v>215</v>
      </c>
      <c r="D138" s="28" t="str">
        <f t="shared" si="22"/>
        <v>05/2025</v>
      </c>
      <c r="E138" s="4">
        <v>2381.58</v>
      </c>
      <c r="F138" s="17">
        <v>2.17</v>
      </c>
      <c r="G138" s="5">
        <v>2</v>
      </c>
      <c r="H138" s="6">
        <v>3.7999999999999999E-2</v>
      </c>
      <c r="J138" s="12">
        <f t="shared" ca="1" si="23"/>
        <v>515</v>
      </c>
      <c r="K138" s="13">
        <f t="shared" ca="1" si="24"/>
        <v>17.166666666666668</v>
      </c>
      <c r="L138" s="14">
        <f t="shared" ca="1" si="25"/>
        <v>3442.839372327393</v>
      </c>
      <c r="M138" s="14">
        <f t="shared" si="26"/>
        <v>47.631599999999999</v>
      </c>
      <c r="N138" s="14">
        <f t="shared" ca="1" si="27"/>
        <v>466.07520600000004</v>
      </c>
      <c r="O138" s="20">
        <f t="shared" ca="1" si="28"/>
        <v>3956.5461783273931</v>
      </c>
      <c r="P138" s="22" t="str">
        <f t="shared" ca="1" si="29"/>
        <v>SIM</v>
      </c>
      <c r="Q138" t="b">
        <f t="shared" ca="1" si="30"/>
        <v>1</v>
      </c>
      <c r="R138" t="str">
        <f t="shared" ca="1" si="31"/>
        <v>SIM</v>
      </c>
      <c r="S138" t="str">
        <f t="shared" ca="1" si="32"/>
        <v>SIM</v>
      </c>
    </row>
    <row r="139" spans="1:19">
      <c r="A139" s="7" t="s">
        <v>375</v>
      </c>
      <c r="B139" s="7" t="s">
        <v>376</v>
      </c>
      <c r="C139" s="29" t="s">
        <v>377</v>
      </c>
      <c r="D139" s="28" t="str">
        <f t="shared" si="22"/>
        <v>06/2026</v>
      </c>
      <c r="E139" s="8">
        <v>1032.1199999999999</v>
      </c>
      <c r="F139" s="18">
        <v>1.69</v>
      </c>
      <c r="G139" s="9">
        <v>2</v>
      </c>
      <c r="H139" s="10">
        <v>4.7899999999999998E-2</v>
      </c>
      <c r="J139" s="12">
        <f t="shared" ca="1" si="23"/>
        <v>127</v>
      </c>
      <c r="K139" s="13">
        <f t="shared" ca="1" si="24"/>
        <v>4.2333333333333334</v>
      </c>
      <c r="L139" s="14">
        <f t="shared" ca="1" si="25"/>
        <v>1108.0042870753939</v>
      </c>
      <c r="M139" s="14">
        <f t="shared" si="26"/>
        <v>20.642399999999999</v>
      </c>
      <c r="N139" s="14">
        <f t="shared" ca="1" si="27"/>
        <v>62.786955959999986</v>
      </c>
      <c r="O139" s="20">
        <f t="shared" ca="1" si="28"/>
        <v>1191.4336430353937</v>
      </c>
      <c r="P139" s="22" t="str">
        <f t="shared" ca="1" si="29"/>
        <v>SIM</v>
      </c>
      <c r="Q139" t="b">
        <f t="shared" ca="1" si="30"/>
        <v>1</v>
      </c>
      <c r="R139" t="str">
        <f t="shared" ca="1" si="31"/>
        <v>SIM</v>
      </c>
      <c r="S139" t="str">
        <f t="shared" ca="1" si="32"/>
        <v>SIM</v>
      </c>
    </row>
    <row r="140" spans="1:19">
      <c r="A140" s="3" t="s">
        <v>378</v>
      </c>
      <c r="B140" s="3" t="s">
        <v>154</v>
      </c>
      <c r="C140" s="28" t="s">
        <v>75</v>
      </c>
      <c r="D140" s="28" t="str">
        <f t="shared" si="22"/>
        <v>08/2025</v>
      </c>
      <c r="E140" s="4">
        <v>3387.66</v>
      </c>
      <c r="F140" s="17">
        <v>1.34</v>
      </c>
      <c r="G140" s="5">
        <v>2</v>
      </c>
      <c r="H140" s="6">
        <v>3.3799999999999997E-2</v>
      </c>
      <c r="J140" s="12">
        <f t="shared" ca="1" si="23"/>
        <v>429</v>
      </c>
      <c r="K140" s="13">
        <f t="shared" ca="1" si="24"/>
        <v>14.3</v>
      </c>
      <c r="L140" s="14">
        <f t="shared" ca="1" si="25"/>
        <v>4097.9502866412104</v>
      </c>
      <c r="M140" s="14">
        <f t="shared" si="26"/>
        <v>67.753199999999993</v>
      </c>
      <c r="N140" s="14">
        <f t="shared" ca="1" si="27"/>
        <v>491.21747531999989</v>
      </c>
      <c r="O140" s="20">
        <f t="shared" ca="1" si="28"/>
        <v>4656.9209619612102</v>
      </c>
      <c r="P140" s="22" t="str">
        <f t="shared" ca="1" si="29"/>
        <v>SIM</v>
      </c>
      <c r="Q140" t="b">
        <f t="shared" ca="1" si="30"/>
        <v>1</v>
      </c>
      <c r="R140" t="str">
        <f t="shared" ca="1" si="31"/>
        <v>SIM</v>
      </c>
      <c r="S140" t="str">
        <f t="shared" ca="1" si="32"/>
        <v>SIM</v>
      </c>
    </row>
    <row r="141" spans="1:19">
      <c r="A141" s="7" t="s">
        <v>379</v>
      </c>
      <c r="B141" s="7" t="s">
        <v>380</v>
      </c>
      <c r="C141" s="29" t="s">
        <v>381</v>
      </c>
      <c r="D141" s="28" t="str">
        <f t="shared" si="22"/>
        <v>03/2026</v>
      </c>
      <c r="E141" s="8">
        <v>969.34</v>
      </c>
      <c r="F141" s="18">
        <v>1.56</v>
      </c>
      <c r="G141" s="9">
        <v>2</v>
      </c>
      <c r="H141" s="10">
        <v>3.3500000000000002E-2</v>
      </c>
      <c r="J141" s="12">
        <f t="shared" ca="1" si="23"/>
        <v>227</v>
      </c>
      <c r="K141" s="13">
        <f t="shared" ca="1" si="24"/>
        <v>7.5666666666666664</v>
      </c>
      <c r="L141" s="14">
        <f t="shared" ca="1" si="25"/>
        <v>1089.7942329511727</v>
      </c>
      <c r="M141" s="14">
        <f t="shared" si="26"/>
        <v>19.386800000000001</v>
      </c>
      <c r="N141" s="14">
        <f t="shared" ca="1" si="27"/>
        <v>73.713460299999994</v>
      </c>
      <c r="O141" s="20">
        <f t="shared" ca="1" si="28"/>
        <v>1182.8944932511727</v>
      </c>
      <c r="P141" s="22" t="str">
        <f t="shared" ca="1" si="29"/>
        <v>SIM</v>
      </c>
      <c r="Q141" t="b">
        <f t="shared" ca="1" si="30"/>
        <v>1</v>
      </c>
      <c r="R141" t="str">
        <f t="shared" ca="1" si="31"/>
        <v>SIM</v>
      </c>
      <c r="S141" t="str">
        <f t="shared" ca="1" si="32"/>
        <v>SIM</v>
      </c>
    </row>
    <row r="142" spans="1:19">
      <c r="A142" s="3" t="s">
        <v>382</v>
      </c>
      <c r="B142" s="3" t="s">
        <v>383</v>
      </c>
      <c r="C142" s="28" t="s">
        <v>369</v>
      </c>
      <c r="D142" s="28" t="str">
        <f t="shared" si="22"/>
        <v>03/2026</v>
      </c>
      <c r="E142" s="4">
        <v>735.08</v>
      </c>
      <c r="F142" s="17">
        <v>1.92</v>
      </c>
      <c r="G142" s="5">
        <v>2</v>
      </c>
      <c r="H142" s="6">
        <v>3.4099999999999998E-2</v>
      </c>
      <c r="J142" s="12">
        <f t="shared" ca="1" si="23"/>
        <v>240</v>
      </c>
      <c r="K142" s="13">
        <f t="shared" ca="1" si="24"/>
        <v>8</v>
      </c>
      <c r="L142" s="14">
        <f t="shared" ca="1" si="25"/>
        <v>855.87418355734144</v>
      </c>
      <c r="M142" s="14">
        <f t="shared" si="26"/>
        <v>14.701600000000001</v>
      </c>
      <c r="N142" s="14">
        <f t="shared" ca="1" si="27"/>
        <v>60.1589472</v>
      </c>
      <c r="O142" s="20">
        <f t="shared" ca="1" si="28"/>
        <v>930.73473075734137</v>
      </c>
      <c r="P142" s="22" t="str">
        <f t="shared" ca="1" si="29"/>
        <v>SIM</v>
      </c>
      <c r="Q142" t="b">
        <f t="shared" ca="1" si="30"/>
        <v>1</v>
      </c>
      <c r="R142" t="str">
        <f t="shared" ca="1" si="31"/>
        <v>SIM</v>
      </c>
      <c r="S142" t="str">
        <f t="shared" ca="1" si="32"/>
        <v>SIM</v>
      </c>
    </row>
    <row r="143" spans="1:19">
      <c r="A143" s="7" t="s">
        <v>384</v>
      </c>
      <c r="B143" s="7" t="s">
        <v>385</v>
      </c>
      <c r="C143" s="29" t="s">
        <v>243</v>
      </c>
      <c r="D143" s="28" t="str">
        <f t="shared" si="22"/>
        <v>07/2026</v>
      </c>
      <c r="E143" s="8">
        <v>2591.5700000000002</v>
      </c>
      <c r="F143" s="18">
        <v>2.38</v>
      </c>
      <c r="G143" s="9">
        <v>2</v>
      </c>
      <c r="H143" s="10">
        <v>3.0800000000000001E-2</v>
      </c>
      <c r="J143" s="12">
        <f t="shared" ca="1" si="23"/>
        <v>88</v>
      </c>
      <c r="K143" s="13">
        <f t="shared" ca="1" si="24"/>
        <v>2.9333333333333331</v>
      </c>
      <c r="L143" s="14">
        <f t="shared" ca="1" si="25"/>
        <v>2776.6894565577504</v>
      </c>
      <c r="M143" s="14">
        <f t="shared" si="26"/>
        <v>51.831400000000002</v>
      </c>
      <c r="N143" s="14">
        <f t="shared" ca="1" si="27"/>
        <v>70.241913280000006</v>
      </c>
      <c r="O143" s="20">
        <f t="shared" ca="1" si="28"/>
        <v>2898.7627698377505</v>
      </c>
      <c r="P143" s="22" t="str">
        <f t="shared" ca="1" si="29"/>
        <v>NÃO</v>
      </c>
      <c r="Q143" t="b">
        <f t="shared" ca="1" si="30"/>
        <v>1</v>
      </c>
      <c r="R143" t="str">
        <f t="shared" ca="1" si="31"/>
        <v>NÃO</v>
      </c>
      <c r="S143" t="str">
        <f t="shared" ca="1" si="32"/>
        <v>NÃO</v>
      </c>
    </row>
    <row r="144" spans="1:19">
      <c r="A144" s="3" t="s">
        <v>386</v>
      </c>
      <c r="B144" s="3" t="s">
        <v>387</v>
      </c>
      <c r="C144" s="28" t="s">
        <v>388</v>
      </c>
      <c r="D144" s="28" t="str">
        <f t="shared" si="22"/>
        <v>10/2025</v>
      </c>
      <c r="E144" s="4">
        <v>3195.32</v>
      </c>
      <c r="F144" s="17">
        <v>1.1599999999999999</v>
      </c>
      <c r="G144" s="5">
        <v>2</v>
      </c>
      <c r="H144" s="6">
        <v>4.7500000000000001E-2</v>
      </c>
      <c r="J144" s="12">
        <f t="shared" ca="1" si="23"/>
        <v>387</v>
      </c>
      <c r="K144" s="13">
        <f t="shared" ca="1" si="24"/>
        <v>12.9</v>
      </c>
      <c r="L144" s="14">
        <f t="shared" ca="1" si="25"/>
        <v>3707.9011223126058</v>
      </c>
      <c r="M144" s="14">
        <f t="shared" si="26"/>
        <v>63.906400000000005</v>
      </c>
      <c r="N144" s="14">
        <f t="shared" ca="1" si="27"/>
        <v>587.37969900000007</v>
      </c>
      <c r="O144" s="20">
        <f t="shared" ca="1" si="28"/>
        <v>4359.1872213126062</v>
      </c>
      <c r="P144" s="22" t="str">
        <f t="shared" ca="1" si="29"/>
        <v>SIM</v>
      </c>
      <c r="Q144" t="b">
        <f t="shared" ca="1" si="30"/>
        <v>1</v>
      </c>
      <c r="R144" t="str">
        <f t="shared" ca="1" si="31"/>
        <v>SIM</v>
      </c>
      <c r="S144" t="str">
        <f t="shared" ca="1" si="32"/>
        <v>SIM</v>
      </c>
    </row>
    <row r="145" spans="1:19">
      <c r="A145" s="7" t="s">
        <v>389</v>
      </c>
      <c r="B145" s="7" t="s">
        <v>288</v>
      </c>
      <c r="C145" s="29" t="s">
        <v>295</v>
      </c>
      <c r="D145" s="28" t="str">
        <f t="shared" si="22"/>
        <v>04/2025</v>
      </c>
      <c r="E145" s="8">
        <v>162.59</v>
      </c>
      <c r="F145" s="18">
        <v>2.74</v>
      </c>
      <c r="G145" s="9">
        <v>2</v>
      </c>
      <c r="H145" s="10">
        <v>3.1699999999999999E-2</v>
      </c>
      <c r="J145" s="12">
        <f t="shared" ca="1" si="23"/>
        <v>574</v>
      </c>
      <c r="K145" s="13">
        <f t="shared" ca="1" si="24"/>
        <v>19.133333333333333</v>
      </c>
      <c r="L145" s="14">
        <f t="shared" ca="1" si="25"/>
        <v>272.71609666498978</v>
      </c>
      <c r="M145" s="14">
        <f t="shared" si="26"/>
        <v>3.2518000000000002</v>
      </c>
      <c r="N145" s="14">
        <f t="shared" ca="1" si="27"/>
        <v>29.584551220000002</v>
      </c>
      <c r="O145" s="20">
        <f t="shared" ca="1" si="28"/>
        <v>305.55244788498976</v>
      </c>
      <c r="P145" s="22" t="str">
        <f t="shared" ca="1" si="29"/>
        <v>SIM</v>
      </c>
      <c r="Q145" t="b">
        <f t="shared" ca="1" si="30"/>
        <v>1</v>
      </c>
      <c r="R145" t="str">
        <f t="shared" ca="1" si="31"/>
        <v>SIM</v>
      </c>
      <c r="S145" t="str">
        <f t="shared" ca="1" si="32"/>
        <v>SIM</v>
      </c>
    </row>
    <row r="146" spans="1:19">
      <c r="A146" s="3" t="s">
        <v>390</v>
      </c>
      <c r="B146" s="3" t="s">
        <v>391</v>
      </c>
      <c r="C146" s="28" t="s">
        <v>392</v>
      </c>
      <c r="D146" s="28" t="str">
        <f t="shared" si="22"/>
        <v>10/2025</v>
      </c>
      <c r="E146" s="4">
        <v>1165.3399999999999</v>
      </c>
      <c r="F146" s="17">
        <v>1.74</v>
      </c>
      <c r="G146" s="5">
        <v>2</v>
      </c>
      <c r="H146" s="6">
        <v>3.9699999999999999E-2</v>
      </c>
      <c r="J146" s="12">
        <f t="shared" ca="1" si="23"/>
        <v>378</v>
      </c>
      <c r="K146" s="13">
        <f t="shared" ca="1" si="24"/>
        <v>12.6</v>
      </c>
      <c r="L146" s="14">
        <f t="shared" ca="1" si="25"/>
        <v>1448.2665273209341</v>
      </c>
      <c r="M146" s="14">
        <f t="shared" si="26"/>
        <v>23.306799999999999</v>
      </c>
      <c r="N146" s="14">
        <f t="shared" ca="1" si="27"/>
        <v>174.87791243999999</v>
      </c>
      <c r="O146" s="20">
        <f t="shared" ca="1" si="28"/>
        <v>1646.4512397609342</v>
      </c>
      <c r="P146" s="22" t="str">
        <f t="shared" ca="1" si="29"/>
        <v>SIM</v>
      </c>
      <c r="Q146" t="b">
        <f t="shared" ca="1" si="30"/>
        <v>1</v>
      </c>
      <c r="R146" t="str">
        <f t="shared" ca="1" si="31"/>
        <v>SIM</v>
      </c>
      <c r="S146" t="str">
        <f t="shared" ca="1" si="32"/>
        <v>SIM</v>
      </c>
    </row>
    <row r="147" spans="1:19">
      <c r="A147" s="7" t="s">
        <v>393</v>
      </c>
      <c r="B147" s="7" t="s">
        <v>343</v>
      </c>
      <c r="C147" s="29" t="s">
        <v>164</v>
      </c>
      <c r="D147" s="28" t="str">
        <f t="shared" si="22"/>
        <v>05/2026</v>
      </c>
      <c r="E147" s="8">
        <v>1939.23</v>
      </c>
      <c r="F147" s="18">
        <v>1.93</v>
      </c>
      <c r="G147" s="9">
        <v>2</v>
      </c>
      <c r="H147" s="10">
        <v>4.4900000000000002E-2</v>
      </c>
      <c r="J147" s="12">
        <f t="shared" ca="1" si="23"/>
        <v>149</v>
      </c>
      <c r="K147" s="13">
        <f t="shared" ca="1" si="24"/>
        <v>4.9666666666666668</v>
      </c>
      <c r="L147" s="14">
        <f t="shared" ca="1" si="25"/>
        <v>2132.3707077603735</v>
      </c>
      <c r="M147" s="14">
        <f t="shared" si="26"/>
        <v>38.784599999999998</v>
      </c>
      <c r="N147" s="14">
        <f t="shared" ca="1" si="27"/>
        <v>129.73642623000001</v>
      </c>
      <c r="O147" s="20">
        <f t="shared" ca="1" si="28"/>
        <v>2300.8917339903737</v>
      </c>
      <c r="P147" s="22" t="str">
        <f t="shared" ca="1" si="29"/>
        <v>SIM</v>
      </c>
      <c r="Q147" t="b">
        <f t="shared" ca="1" si="30"/>
        <v>1</v>
      </c>
      <c r="R147" t="str">
        <f t="shared" ca="1" si="31"/>
        <v>SIM</v>
      </c>
      <c r="S147" t="str">
        <f t="shared" ca="1" si="32"/>
        <v>SIM</v>
      </c>
    </row>
    <row r="148" spans="1:19">
      <c r="A148" s="3" t="s">
        <v>394</v>
      </c>
      <c r="B148" s="3" t="s">
        <v>313</v>
      </c>
      <c r="C148" s="28" t="s">
        <v>395</v>
      </c>
      <c r="D148" s="28" t="str">
        <f t="shared" si="22"/>
        <v>07/2026</v>
      </c>
      <c r="E148" s="4">
        <v>1374.32</v>
      </c>
      <c r="F148" s="17">
        <v>2.4300000000000002</v>
      </c>
      <c r="G148" s="5">
        <v>2</v>
      </c>
      <c r="H148" s="6">
        <v>4.7899999999999998E-2</v>
      </c>
      <c r="J148" s="12">
        <f t="shared" ca="1" si="23"/>
        <v>98</v>
      </c>
      <c r="K148" s="13">
        <f t="shared" ca="1" si="24"/>
        <v>3.2666666666666666</v>
      </c>
      <c r="L148" s="14">
        <f t="shared" ca="1" si="25"/>
        <v>1486.4488324545505</v>
      </c>
      <c r="M148" s="14">
        <f t="shared" si="26"/>
        <v>27.4864</v>
      </c>
      <c r="N148" s="14">
        <f t="shared" ca="1" si="27"/>
        <v>64.513329439999993</v>
      </c>
      <c r="O148" s="20">
        <f t="shared" ca="1" si="28"/>
        <v>1578.4485618945505</v>
      </c>
      <c r="P148" s="22" t="str">
        <f t="shared" ca="1" si="29"/>
        <v>SIM</v>
      </c>
      <c r="Q148" t="b">
        <f t="shared" ca="1" si="30"/>
        <v>1</v>
      </c>
      <c r="R148" t="str">
        <f t="shared" ca="1" si="31"/>
        <v>SIM</v>
      </c>
      <c r="S148" t="str">
        <f t="shared" ca="1" si="32"/>
        <v>SIM</v>
      </c>
    </row>
    <row r="149" spans="1:19">
      <c r="A149" s="7" t="s">
        <v>396</v>
      </c>
      <c r="B149" s="7" t="s">
        <v>124</v>
      </c>
      <c r="C149" s="29" t="s">
        <v>397</v>
      </c>
      <c r="D149" s="28" t="str">
        <f t="shared" si="22"/>
        <v>01/2026</v>
      </c>
      <c r="E149" s="8">
        <v>297.79000000000002</v>
      </c>
      <c r="F149" s="18">
        <v>2.73</v>
      </c>
      <c r="G149" s="9">
        <v>2</v>
      </c>
      <c r="H149" s="10">
        <v>3.7100000000000001E-2</v>
      </c>
      <c r="J149" s="12">
        <f t="shared" ca="1" si="23"/>
        <v>273</v>
      </c>
      <c r="K149" s="13">
        <f t="shared" ca="1" si="24"/>
        <v>9.1</v>
      </c>
      <c r="L149" s="14">
        <f t="shared" ca="1" si="25"/>
        <v>380.50067504012605</v>
      </c>
      <c r="M149" s="14">
        <f t="shared" si="26"/>
        <v>5.9558</v>
      </c>
      <c r="N149" s="14">
        <f t="shared" ca="1" si="27"/>
        <v>30.161064570000001</v>
      </c>
      <c r="O149" s="20">
        <f t="shared" ca="1" si="28"/>
        <v>416.61753961012607</v>
      </c>
      <c r="P149" s="22" t="str">
        <f t="shared" ca="1" si="29"/>
        <v>SIM</v>
      </c>
      <c r="Q149" t="b">
        <f t="shared" ca="1" si="30"/>
        <v>1</v>
      </c>
      <c r="R149" t="str">
        <f t="shared" ca="1" si="31"/>
        <v>SIM</v>
      </c>
      <c r="S149" t="str">
        <f t="shared" ca="1" si="32"/>
        <v>SIM</v>
      </c>
    </row>
    <row r="150" spans="1:19">
      <c r="A150" s="3" t="s">
        <v>398</v>
      </c>
      <c r="B150" s="3" t="s">
        <v>399</v>
      </c>
      <c r="C150" s="28" t="s">
        <v>87</v>
      </c>
      <c r="D150" s="28" t="str">
        <f t="shared" si="22"/>
        <v>02/2025</v>
      </c>
      <c r="E150" s="4">
        <v>3726.42</v>
      </c>
      <c r="F150" s="17">
        <v>1.36</v>
      </c>
      <c r="G150" s="5">
        <v>2</v>
      </c>
      <c r="H150" s="6">
        <v>4.1300000000000003E-2</v>
      </c>
      <c r="J150" s="12">
        <f t="shared" ca="1" si="23"/>
        <v>611</v>
      </c>
      <c r="K150" s="13">
        <f t="shared" ca="1" si="24"/>
        <v>20.366666666666667</v>
      </c>
      <c r="L150" s="14">
        <f t="shared" ca="1" si="25"/>
        <v>4906.5352913600773</v>
      </c>
      <c r="M150" s="14">
        <f t="shared" si="26"/>
        <v>74.528400000000005</v>
      </c>
      <c r="N150" s="14">
        <f t="shared" ca="1" si="27"/>
        <v>940.33600206000017</v>
      </c>
      <c r="O150" s="20">
        <f t="shared" ca="1" si="28"/>
        <v>5921.3996934200777</v>
      </c>
      <c r="P150" s="22" t="str">
        <f t="shared" ca="1" si="29"/>
        <v>SIM</v>
      </c>
      <c r="Q150" t="b">
        <f t="shared" ca="1" si="30"/>
        <v>1</v>
      </c>
      <c r="R150" t="str">
        <f t="shared" ca="1" si="31"/>
        <v>SIM</v>
      </c>
      <c r="S150" t="str">
        <f t="shared" ca="1" si="32"/>
        <v>SIM</v>
      </c>
    </row>
    <row r="151" spans="1:19">
      <c r="A151" s="7" t="s">
        <v>400</v>
      </c>
      <c r="B151" s="7" t="s">
        <v>263</v>
      </c>
      <c r="C151" s="29" t="s">
        <v>115</v>
      </c>
      <c r="D151" s="28" t="str">
        <f t="shared" si="22"/>
        <v>10/2025</v>
      </c>
      <c r="E151" s="8">
        <v>582.64</v>
      </c>
      <c r="F151" s="18">
        <v>2.0699999999999998</v>
      </c>
      <c r="G151" s="9">
        <v>2</v>
      </c>
      <c r="H151" s="10">
        <v>3.4700000000000002E-2</v>
      </c>
      <c r="J151" s="12">
        <f t="shared" ca="1" si="23"/>
        <v>371</v>
      </c>
      <c r="K151" s="13">
        <f t="shared" ca="1" si="24"/>
        <v>12.366666666666667</v>
      </c>
      <c r="L151" s="14">
        <f t="shared" ca="1" si="25"/>
        <v>750.65488689940048</v>
      </c>
      <c r="M151" s="14">
        <f t="shared" si="26"/>
        <v>11.652799999999999</v>
      </c>
      <c r="N151" s="14">
        <f t="shared" ca="1" si="27"/>
        <v>75.007325680000008</v>
      </c>
      <c r="O151" s="20">
        <f t="shared" ca="1" si="28"/>
        <v>837.31501257940045</v>
      </c>
      <c r="P151" s="22" t="str">
        <f t="shared" ca="1" si="29"/>
        <v>SIM</v>
      </c>
      <c r="Q151" t="b">
        <f t="shared" ca="1" si="30"/>
        <v>1</v>
      </c>
      <c r="R151" t="str">
        <f t="shared" ca="1" si="31"/>
        <v>SIM</v>
      </c>
      <c r="S151" t="str">
        <f t="shared" ca="1" si="32"/>
        <v>SIM</v>
      </c>
    </row>
    <row r="152" spans="1:19">
      <c r="A152" s="3" t="s">
        <v>401</v>
      </c>
      <c r="B152" s="3" t="s">
        <v>402</v>
      </c>
      <c r="C152" s="28" t="s">
        <v>57</v>
      </c>
      <c r="D152" s="28" t="str">
        <f t="shared" si="22"/>
        <v>07/2026</v>
      </c>
      <c r="E152" s="4">
        <v>2448.75</v>
      </c>
      <c r="F152" s="17">
        <v>1.71</v>
      </c>
      <c r="G152" s="5">
        <v>2</v>
      </c>
      <c r="H152" s="6">
        <v>4.2999999999999997E-2</v>
      </c>
      <c r="J152" s="12">
        <f t="shared" ca="1" si="23"/>
        <v>106</v>
      </c>
      <c r="K152" s="13">
        <f t="shared" ca="1" si="24"/>
        <v>3.5333333333333332</v>
      </c>
      <c r="L152" s="14">
        <f t="shared" ca="1" si="25"/>
        <v>2599.9362198627737</v>
      </c>
      <c r="M152" s="14">
        <f t="shared" si="26"/>
        <v>48.975000000000001</v>
      </c>
      <c r="N152" s="14">
        <f t="shared" ca="1" si="27"/>
        <v>111.61402499999998</v>
      </c>
      <c r="O152" s="20">
        <f t="shared" ca="1" si="28"/>
        <v>2760.5252448627734</v>
      </c>
      <c r="P152" s="22" t="str">
        <f t="shared" ca="1" si="29"/>
        <v>SIM</v>
      </c>
      <c r="Q152" t="b">
        <f t="shared" ca="1" si="30"/>
        <v>1</v>
      </c>
      <c r="R152" t="str">
        <f t="shared" ca="1" si="31"/>
        <v>SIM</v>
      </c>
      <c r="S152" t="str">
        <f t="shared" ca="1" si="32"/>
        <v>SIM</v>
      </c>
    </row>
    <row r="153" spans="1:19">
      <c r="A153" s="7" t="s">
        <v>403</v>
      </c>
      <c r="B153" s="7" t="s">
        <v>404</v>
      </c>
      <c r="C153" s="29" t="s">
        <v>405</v>
      </c>
      <c r="D153" s="28" t="str">
        <f t="shared" si="22"/>
        <v>06/2025</v>
      </c>
      <c r="E153" s="8">
        <v>2983.37</v>
      </c>
      <c r="F153" s="18">
        <v>2.4700000000000002</v>
      </c>
      <c r="G153" s="9">
        <v>2</v>
      </c>
      <c r="H153" s="10">
        <v>4.1200000000000001E-2</v>
      </c>
      <c r="J153" s="12">
        <f t="shared" ca="1" si="23"/>
        <v>490</v>
      </c>
      <c r="K153" s="13">
        <f t="shared" ca="1" si="24"/>
        <v>16.333333333333332</v>
      </c>
      <c r="L153" s="14">
        <f t="shared" ca="1" si="25"/>
        <v>4444.1339755227536</v>
      </c>
      <c r="M153" s="14">
        <f t="shared" si="26"/>
        <v>59.667400000000001</v>
      </c>
      <c r="N153" s="14">
        <f t="shared" ca="1" si="27"/>
        <v>602.28273560000002</v>
      </c>
      <c r="O153" s="20">
        <f t="shared" ca="1" si="28"/>
        <v>5106.0841111227537</v>
      </c>
      <c r="P153" s="22" t="str">
        <f t="shared" ca="1" si="29"/>
        <v>SIM</v>
      </c>
      <c r="Q153" t="b">
        <f t="shared" ca="1" si="30"/>
        <v>1</v>
      </c>
      <c r="R153" t="str">
        <f t="shared" ca="1" si="31"/>
        <v>SIM</v>
      </c>
      <c r="S153" t="str">
        <f t="shared" ca="1" si="32"/>
        <v>SIM</v>
      </c>
    </row>
    <row r="154" spans="1:19">
      <c r="A154" s="3" t="s">
        <v>406</v>
      </c>
      <c r="B154" s="3" t="s">
        <v>407</v>
      </c>
      <c r="C154" s="28" t="s">
        <v>241</v>
      </c>
      <c r="D154" s="28" t="str">
        <f t="shared" si="22"/>
        <v>01/2026</v>
      </c>
      <c r="E154" s="4">
        <v>768.76</v>
      </c>
      <c r="F154" s="17">
        <v>1.57</v>
      </c>
      <c r="G154" s="5">
        <v>2</v>
      </c>
      <c r="H154" s="6">
        <v>3.73E-2</v>
      </c>
      <c r="J154" s="12">
        <f t="shared" ca="1" si="23"/>
        <v>270</v>
      </c>
      <c r="K154" s="13">
        <f t="shared" ca="1" si="24"/>
        <v>9</v>
      </c>
      <c r="L154" s="14">
        <f t="shared" ca="1" si="25"/>
        <v>884.46336763104819</v>
      </c>
      <c r="M154" s="14">
        <f t="shared" si="26"/>
        <v>15.3752</v>
      </c>
      <c r="N154" s="14">
        <f t="shared" ca="1" si="27"/>
        <v>77.421819600000006</v>
      </c>
      <c r="O154" s="20">
        <f t="shared" ca="1" si="28"/>
        <v>977.26038723104818</v>
      </c>
      <c r="P154" s="22" t="str">
        <f t="shared" ca="1" si="29"/>
        <v>SIM</v>
      </c>
      <c r="Q154" t="b">
        <f t="shared" ca="1" si="30"/>
        <v>1</v>
      </c>
      <c r="R154" t="str">
        <f t="shared" ca="1" si="31"/>
        <v>SIM</v>
      </c>
      <c r="S154" t="str">
        <f t="shared" ca="1" si="32"/>
        <v>SIM</v>
      </c>
    </row>
    <row r="155" spans="1:19">
      <c r="A155" s="7" t="s">
        <v>408</v>
      </c>
      <c r="B155" s="7" t="s">
        <v>34</v>
      </c>
      <c r="C155" s="29" t="s">
        <v>409</v>
      </c>
      <c r="D155" s="28" t="str">
        <f t="shared" si="22"/>
        <v>10/2025</v>
      </c>
      <c r="E155" s="8">
        <v>1335.11</v>
      </c>
      <c r="F155" s="18">
        <v>2</v>
      </c>
      <c r="G155" s="9">
        <v>2</v>
      </c>
      <c r="H155" s="10">
        <v>3.6600000000000001E-2</v>
      </c>
      <c r="J155" s="12">
        <f t="shared" ca="1" si="23"/>
        <v>367</v>
      </c>
      <c r="K155" s="13">
        <f t="shared" ca="1" si="24"/>
        <v>12.233333333333333</v>
      </c>
      <c r="L155" s="14">
        <f t="shared" ca="1" si="25"/>
        <v>1701.0842230817959</v>
      </c>
      <c r="M155" s="14">
        <f t="shared" si="26"/>
        <v>26.702199999999998</v>
      </c>
      <c r="N155" s="14">
        <f t="shared" ca="1" si="27"/>
        <v>179.33464542000002</v>
      </c>
      <c r="O155" s="20">
        <f t="shared" ca="1" si="28"/>
        <v>1907.1210685017959</v>
      </c>
      <c r="P155" s="22" t="str">
        <f t="shared" ca="1" si="29"/>
        <v>SIM</v>
      </c>
      <c r="Q155" t="b">
        <f t="shared" ca="1" si="30"/>
        <v>1</v>
      </c>
      <c r="R155" t="str">
        <f t="shared" ca="1" si="31"/>
        <v>SIM</v>
      </c>
      <c r="S155" t="str">
        <f t="shared" ca="1" si="32"/>
        <v>SIM</v>
      </c>
    </row>
    <row r="156" spans="1:19">
      <c r="A156" s="3" t="s">
        <v>410</v>
      </c>
      <c r="B156" s="3" t="s">
        <v>92</v>
      </c>
      <c r="C156" s="28" t="s">
        <v>397</v>
      </c>
      <c r="D156" s="28" t="str">
        <f t="shared" si="22"/>
        <v>01/2026</v>
      </c>
      <c r="E156" s="4">
        <v>186.54</v>
      </c>
      <c r="F156" s="17">
        <v>1.45</v>
      </c>
      <c r="G156" s="5">
        <v>2</v>
      </c>
      <c r="H156" s="6">
        <v>3.73E-2</v>
      </c>
      <c r="J156" s="12">
        <f t="shared" ca="1" si="23"/>
        <v>273</v>
      </c>
      <c r="K156" s="13">
        <f t="shared" ca="1" si="24"/>
        <v>9.1</v>
      </c>
      <c r="L156" s="14">
        <f t="shared" ca="1" si="25"/>
        <v>212.650123800834</v>
      </c>
      <c r="M156" s="14">
        <f t="shared" si="26"/>
        <v>3.7307999999999999</v>
      </c>
      <c r="N156" s="14">
        <f t="shared" ca="1" si="27"/>
        <v>18.99518166</v>
      </c>
      <c r="O156" s="20">
        <f t="shared" ca="1" si="28"/>
        <v>235.37610546083397</v>
      </c>
      <c r="P156" s="22" t="str">
        <f t="shared" ca="1" si="29"/>
        <v>SIM</v>
      </c>
      <c r="Q156" t="b">
        <f t="shared" ca="1" si="30"/>
        <v>0</v>
      </c>
      <c r="R156" t="str">
        <f t="shared" ca="1" si="31"/>
        <v>NÃO</v>
      </c>
      <c r="S156" t="str">
        <f t="shared" ca="1" si="32"/>
        <v>SIM</v>
      </c>
    </row>
    <row r="157" spans="1:19">
      <c r="A157" s="7" t="s">
        <v>411</v>
      </c>
      <c r="B157" s="7" t="s">
        <v>412</v>
      </c>
      <c r="C157" s="29" t="s">
        <v>413</v>
      </c>
      <c r="D157" s="28" t="str">
        <f t="shared" si="22"/>
        <v>10/2026</v>
      </c>
      <c r="E157" s="8">
        <v>4276.46</v>
      </c>
      <c r="F157" s="18">
        <v>1.18</v>
      </c>
      <c r="G157" s="9">
        <v>2</v>
      </c>
      <c r="H157" s="10">
        <v>4.6100000000000002E-2</v>
      </c>
      <c r="J157" s="12">
        <f t="shared" ca="1" si="23"/>
        <v>23</v>
      </c>
      <c r="K157" s="13">
        <f t="shared" ca="1" si="24"/>
        <v>0.76666666666666672</v>
      </c>
      <c r="L157" s="14">
        <f t="shared" ca="1" si="25"/>
        <v>4315.0947047363443</v>
      </c>
      <c r="M157" s="14">
        <f t="shared" si="26"/>
        <v>85.529200000000003</v>
      </c>
      <c r="N157" s="14">
        <f t="shared" ca="1" si="27"/>
        <v>45.343305380000004</v>
      </c>
      <c r="O157" s="20">
        <f t="shared" ca="1" si="28"/>
        <v>4445.9672101163442</v>
      </c>
      <c r="P157" s="22" t="str">
        <f t="shared" ca="1" si="29"/>
        <v>NÃO</v>
      </c>
      <c r="Q157" t="b">
        <f t="shared" ca="1" si="30"/>
        <v>1</v>
      </c>
      <c r="R157" t="str">
        <f t="shared" ca="1" si="31"/>
        <v>NÃO</v>
      </c>
      <c r="S157" t="str">
        <f t="shared" ca="1" si="32"/>
        <v>NÃO</v>
      </c>
    </row>
    <row r="158" spans="1:19">
      <c r="A158" s="3" t="s">
        <v>414</v>
      </c>
      <c r="B158" s="3" t="s">
        <v>10</v>
      </c>
      <c r="C158" s="28" t="s">
        <v>306</v>
      </c>
      <c r="D158" s="28" t="str">
        <f t="shared" si="22"/>
        <v>06/2025</v>
      </c>
      <c r="E158" s="4">
        <v>400.43</v>
      </c>
      <c r="F158" s="17">
        <v>1.04</v>
      </c>
      <c r="G158" s="5">
        <v>2</v>
      </c>
      <c r="H158" s="6">
        <v>4.3900000000000002E-2</v>
      </c>
      <c r="J158" s="12">
        <f t="shared" ca="1" si="23"/>
        <v>491</v>
      </c>
      <c r="K158" s="13">
        <f t="shared" ca="1" si="24"/>
        <v>16.366666666666667</v>
      </c>
      <c r="L158" s="14">
        <f t="shared" ca="1" si="25"/>
        <v>474.31577079024993</v>
      </c>
      <c r="M158" s="14">
        <f t="shared" si="26"/>
        <v>8.0085999999999995</v>
      </c>
      <c r="N158" s="14">
        <f t="shared" ca="1" si="27"/>
        <v>86.312286069999999</v>
      </c>
      <c r="O158" s="20">
        <f t="shared" ca="1" si="28"/>
        <v>568.6366568602499</v>
      </c>
      <c r="P158" s="22" t="str">
        <f t="shared" ca="1" si="29"/>
        <v>SIM</v>
      </c>
      <c r="Q158" t="b">
        <f t="shared" ca="1" si="30"/>
        <v>1</v>
      </c>
      <c r="R158" t="str">
        <f t="shared" ca="1" si="31"/>
        <v>SIM</v>
      </c>
      <c r="S158" t="str">
        <f t="shared" ca="1" si="32"/>
        <v>SIM</v>
      </c>
    </row>
    <row r="159" spans="1:19">
      <c r="A159" s="7" t="s">
        <v>415</v>
      </c>
      <c r="B159" s="7" t="s">
        <v>416</v>
      </c>
      <c r="C159" s="29" t="s">
        <v>83</v>
      </c>
      <c r="D159" s="28" t="str">
        <f t="shared" si="22"/>
        <v>08/2025</v>
      </c>
      <c r="E159" s="8">
        <v>2079.6</v>
      </c>
      <c r="F159" s="18">
        <v>2.94</v>
      </c>
      <c r="G159" s="9">
        <v>2</v>
      </c>
      <c r="H159" s="10">
        <v>4.7300000000000002E-2</v>
      </c>
      <c r="J159" s="12">
        <f t="shared" ca="1" si="23"/>
        <v>422</v>
      </c>
      <c r="K159" s="13">
        <f t="shared" ca="1" si="24"/>
        <v>14.066666666666666</v>
      </c>
      <c r="L159" s="14">
        <f t="shared" ca="1" si="25"/>
        <v>3126.0581172206284</v>
      </c>
      <c r="M159" s="14">
        <f t="shared" si="26"/>
        <v>41.591999999999999</v>
      </c>
      <c r="N159" s="14">
        <f t="shared" ca="1" si="27"/>
        <v>415.10063760000003</v>
      </c>
      <c r="O159" s="20">
        <f t="shared" ca="1" si="28"/>
        <v>3582.7507548206286</v>
      </c>
      <c r="P159" s="22" t="str">
        <f t="shared" ca="1" si="29"/>
        <v>SIM</v>
      </c>
      <c r="Q159" t="b">
        <f t="shared" ca="1" si="30"/>
        <v>1</v>
      </c>
      <c r="R159" t="str">
        <f t="shared" ca="1" si="31"/>
        <v>SIM</v>
      </c>
      <c r="S159" t="str">
        <f t="shared" ca="1" si="32"/>
        <v>SIM</v>
      </c>
    </row>
    <row r="160" spans="1:19">
      <c r="A160" s="3" t="s">
        <v>417</v>
      </c>
      <c r="B160" s="3" t="s">
        <v>254</v>
      </c>
      <c r="C160" s="28" t="s">
        <v>308</v>
      </c>
      <c r="D160" s="28" t="str">
        <f t="shared" si="22"/>
        <v>05/2025</v>
      </c>
      <c r="E160" s="4">
        <v>2530.13</v>
      </c>
      <c r="F160" s="17">
        <v>2.4500000000000002</v>
      </c>
      <c r="G160" s="5">
        <v>2</v>
      </c>
      <c r="H160" s="6">
        <v>4.6399999999999997E-2</v>
      </c>
      <c r="J160" s="12">
        <f t="shared" ca="1" si="23"/>
        <v>516</v>
      </c>
      <c r="K160" s="13">
        <f t="shared" ca="1" si="24"/>
        <v>17.2</v>
      </c>
      <c r="L160" s="14">
        <f t="shared" ca="1" si="25"/>
        <v>3836.6183109220369</v>
      </c>
      <c r="M160" s="14">
        <f t="shared" si="26"/>
        <v>50.602600000000002</v>
      </c>
      <c r="N160" s="14">
        <f t="shared" ca="1" si="27"/>
        <v>605.77384512000003</v>
      </c>
      <c r="O160" s="20">
        <f t="shared" ca="1" si="28"/>
        <v>4492.9947560420369</v>
      </c>
      <c r="P160" s="22" t="str">
        <f t="shared" ca="1" si="29"/>
        <v>SIM</v>
      </c>
      <c r="Q160" t="b">
        <f t="shared" ca="1" si="30"/>
        <v>1</v>
      </c>
      <c r="R160" t="str">
        <f t="shared" ca="1" si="31"/>
        <v>SIM</v>
      </c>
      <c r="S160" t="str">
        <f t="shared" ca="1" si="32"/>
        <v>SIM</v>
      </c>
    </row>
    <row r="161" spans="1:19">
      <c r="A161" s="7" t="s">
        <v>418</v>
      </c>
      <c r="B161" s="7" t="s">
        <v>419</v>
      </c>
      <c r="C161" s="29" t="s">
        <v>416</v>
      </c>
      <c r="D161" s="28" t="str">
        <f t="shared" si="22"/>
        <v>08/2025</v>
      </c>
      <c r="E161" s="8">
        <v>2744.93</v>
      </c>
      <c r="F161" s="18">
        <v>1.95</v>
      </c>
      <c r="G161" s="9">
        <v>2</v>
      </c>
      <c r="H161" s="10">
        <v>4.6800000000000001E-2</v>
      </c>
      <c r="J161" s="12">
        <f t="shared" ca="1" si="23"/>
        <v>442</v>
      </c>
      <c r="K161" s="13">
        <f t="shared" ca="1" si="24"/>
        <v>14.733333333333333</v>
      </c>
      <c r="L161" s="14">
        <f t="shared" ca="1" si="25"/>
        <v>3648.4057436028843</v>
      </c>
      <c r="M161" s="14">
        <f t="shared" si="26"/>
        <v>54.898599999999995</v>
      </c>
      <c r="N161" s="14">
        <f t="shared" ca="1" si="27"/>
        <v>567.80524007999998</v>
      </c>
      <c r="O161" s="20">
        <f t="shared" ca="1" si="28"/>
        <v>4271.1095836828845</v>
      </c>
      <c r="P161" s="22" t="str">
        <f t="shared" ca="1" si="29"/>
        <v>SIM</v>
      </c>
      <c r="Q161" t="b">
        <f t="shared" ca="1" si="30"/>
        <v>1</v>
      </c>
      <c r="R161" t="str">
        <f t="shared" ca="1" si="31"/>
        <v>SIM</v>
      </c>
      <c r="S161" t="str">
        <f t="shared" ca="1" si="32"/>
        <v>SIM</v>
      </c>
    </row>
    <row r="162" spans="1:19">
      <c r="A162" s="3" t="s">
        <v>420</v>
      </c>
      <c r="B162" s="3" t="s">
        <v>421</v>
      </c>
      <c r="C162" s="28" t="s">
        <v>422</v>
      </c>
      <c r="D162" s="28" t="str">
        <f t="shared" si="22"/>
        <v>01/2026</v>
      </c>
      <c r="E162" s="4">
        <v>1719.84</v>
      </c>
      <c r="F162" s="17">
        <v>1.85</v>
      </c>
      <c r="G162" s="5">
        <v>2</v>
      </c>
      <c r="H162" s="6">
        <v>4.02E-2</v>
      </c>
      <c r="J162" s="12">
        <f t="shared" ca="1" si="23"/>
        <v>299</v>
      </c>
      <c r="K162" s="13">
        <f t="shared" ca="1" si="24"/>
        <v>9.9666666666666668</v>
      </c>
      <c r="L162" s="14">
        <f t="shared" ca="1" si="25"/>
        <v>2064.5861572151762</v>
      </c>
      <c r="M162" s="14">
        <f t="shared" si="26"/>
        <v>34.396799999999999</v>
      </c>
      <c r="N162" s="14">
        <f t="shared" ca="1" si="27"/>
        <v>206.72132832000003</v>
      </c>
      <c r="O162" s="20">
        <f t="shared" ca="1" si="28"/>
        <v>2305.704285535176</v>
      </c>
      <c r="P162" s="22" t="str">
        <f t="shared" ca="1" si="29"/>
        <v>SIM</v>
      </c>
      <c r="Q162" t="b">
        <f t="shared" ca="1" si="30"/>
        <v>1</v>
      </c>
      <c r="R162" t="str">
        <f t="shared" ca="1" si="31"/>
        <v>SIM</v>
      </c>
      <c r="S162" t="str">
        <f t="shared" ca="1" si="32"/>
        <v>SIM</v>
      </c>
    </row>
    <row r="163" spans="1:19">
      <c r="A163" s="7" t="s">
        <v>423</v>
      </c>
      <c r="B163" s="7" t="s">
        <v>424</v>
      </c>
      <c r="C163" s="29" t="s">
        <v>367</v>
      </c>
      <c r="D163" s="28" t="str">
        <f t="shared" si="22"/>
        <v>05/2025</v>
      </c>
      <c r="E163" s="8">
        <v>706.96</v>
      </c>
      <c r="F163" s="18">
        <v>2.2200000000000002</v>
      </c>
      <c r="G163" s="9">
        <v>2</v>
      </c>
      <c r="H163" s="10">
        <v>3.5799999999999998E-2</v>
      </c>
      <c r="J163" s="12">
        <f t="shared" ca="1" si="23"/>
        <v>526</v>
      </c>
      <c r="K163" s="13">
        <f t="shared" ca="1" si="24"/>
        <v>17.533333333333335</v>
      </c>
      <c r="L163" s="14">
        <f t="shared" ca="1" si="25"/>
        <v>1038.9401868550246</v>
      </c>
      <c r="M163" s="14">
        <f t="shared" si="26"/>
        <v>14.139200000000001</v>
      </c>
      <c r="N163" s="14">
        <f t="shared" ca="1" si="27"/>
        <v>133.12622367999998</v>
      </c>
      <c r="O163" s="20">
        <f t="shared" ca="1" si="28"/>
        <v>1186.2056105350248</v>
      </c>
      <c r="P163" s="22" t="str">
        <f t="shared" ca="1" si="29"/>
        <v>SIM</v>
      </c>
      <c r="Q163" t="b">
        <f t="shared" ca="1" si="30"/>
        <v>1</v>
      </c>
      <c r="R163" t="str">
        <f t="shared" ca="1" si="31"/>
        <v>SIM</v>
      </c>
      <c r="S163" t="str">
        <f t="shared" ca="1" si="32"/>
        <v>SIM</v>
      </c>
    </row>
    <row r="164" spans="1:19">
      <c r="A164" s="3" t="s">
        <v>425</v>
      </c>
      <c r="B164" s="3" t="s">
        <v>367</v>
      </c>
      <c r="C164" s="28" t="s">
        <v>426</v>
      </c>
      <c r="D164" s="28" t="str">
        <f t="shared" si="22"/>
        <v>06/2025</v>
      </c>
      <c r="E164" s="4">
        <v>1705.11</v>
      </c>
      <c r="F164" s="17">
        <v>2.19</v>
      </c>
      <c r="G164" s="5">
        <v>2</v>
      </c>
      <c r="H164" s="6">
        <v>3.7400000000000003E-2</v>
      </c>
      <c r="J164" s="12">
        <f t="shared" ca="1" si="23"/>
        <v>508</v>
      </c>
      <c r="K164" s="13">
        <f t="shared" ca="1" si="24"/>
        <v>16.933333333333334</v>
      </c>
      <c r="L164" s="14">
        <f t="shared" ca="1" si="25"/>
        <v>2460.7526438959358</v>
      </c>
      <c r="M164" s="14">
        <f t="shared" si="26"/>
        <v>34.102199999999996</v>
      </c>
      <c r="N164" s="14">
        <f t="shared" ca="1" si="27"/>
        <v>323.95725912000006</v>
      </c>
      <c r="O164" s="20">
        <f t="shared" ca="1" si="28"/>
        <v>2818.8121030159355</v>
      </c>
      <c r="P164" s="22" t="str">
        <f t="shared" ca="1" si="29"/>
        <v>SIM</v>
      </c>
      <c r="Q164" t="b">
        <f t="shared" ca="1" si="30"/>
        <v>1</v>
      </c>
      <c r="R164" t="str">
        <f t="shared" ca="1" si="31"/>
        <v>SIM</v>
      </c>
      <c r="S164" t="str">
        <f t="shared" ca="1" si="32"/>
        <v>SIM</v>
      </c>
    </row>
    <row r="165" spans="1:19">
      <c r="A165" s="7" t="s">
        <v>427</v>
      </c>
      <c r="B165" s="7" t="s">
        <v>329</v>
      </c>
      <c r="C165" s="29" t="s">
        <v>287</v>
      </c>
      <c r="D165" s="28" t="str">
        <f t="shared" si="22"/>
        <v>01/2025</v>
      </c>
      <c r="E165" s="8">
        <v>457.37</v>
      </c>
      <c r="F165" s="18">
        <v>2.98</v>
      </c>
      <c r="G165" s="9">
        <v>2</v>
      </c>
      <c r="H165" s="10">
        <v>3.6400000000000002E-2</v>
      </c>
      <c r="J165" s="12">
        <f t="shared" ca="1" si="23"/>
        <v>636</v>
      </c>
      <c r="K165" s="13">
        <f t="shared" ca="1" si="24"/>
        <v>21.2</v>
      </c>
      <c r="L165" s="14">
        <f t="shared" ca="1" si="25"/>
        <v>852.37144001563672</v>
      </c>
      <c r="M165" s="14">
        <f t="shared" si="26"/>
        <v>9.1473999999999993</v>
      </c>
      <c r="N165" s="14">
        <f t="shared" ca="1" si="27"/>
        <v>105.88298448000002</v>
      </c>
      <c r="O165" s="20">
        <f t="shared" ca="1" si="28"/>
        <v>967.40182449563667</v>
      </c>
      <c r="P165" s="22" t="str">
        <f t="shared" ca="1" si="29"/>
        <v>SIM</v>
      </c>
      <c r="Q165" t="b">
        <f t="shared" ca="1" si="30"/>
        <v>1</v>
      </c>
      <c r="R165" t="str">
        <f t="shared" ca="1" si="31"/>
        <v>SIM</v>
      </c>
      <c r="S165" t="str">
        <f t="shared" ca="1" si="32"/>
        <v>SIM</v>
      </c>
    </row>
    <row r="166" spans="1:19">
      <c r="A166" s="3" t="s">
        <v>428</v>
      </c>
      <c r="B166" s="3" t="s">
        <v>429</v>
      </c>
      <c r="C166" s="28" t="s">
        <v>430</v>
      </c>
      <c r="D166" s="28" t="str">
        <f t="shared" si="22"/>
        <v>09/2026</v>
      </c>
      <c r="E166" s="4">
        <v>823.3</v>
      </c>
      <c r="F166" s="17">
        <v>1.01</v>
      </c>
      <c r="G166" s="5">
        <v>2</v>
      </c>
      <c r="H166" s="6">
        <v>3.2300000000000002E-2</v>
      </c>
      <c r="J166" s="12">
        <f t="shared" ca="1" si="23"/>
        <v>54</v>
      </c>
      <c r="K166" s="13">
        <f t="shared" ca="1" si="24"/>
        <v>1.8</v>
      </c>
      <c r="L166" s="14">
        <f t="shared" ca="1" si="25"/>
        <v>838.32802248673659</v>
      </c>
      <c r="M166" s="14">
        <f t="shared" si="26"/>
        <v>16.465999999999998</v>
      </c>
      <c r="N166" s="14">
        <f t="shared" ca="1" si="27"/>
        <v>14.359998599999999</v>
      </c>
      <c r="O166" s="20">
        <f t="shared" ca="1" si="28"/>
        <v>869.15402108673663</v>
      </c>
      <c r="P166" s="22" t="str">
        <f t="shared" ca="1" si="29"/>
        <v>NÃO</v>
      </c>
      <c r="Q166" t="b">
        <f t="shared" ca="1" si="30"/>
        <v>1</v>
      </c>
      <c r="R166" t="str">
        <f t="shared" ca="1" si="31"/>
        <v>NÃO</v>
      </c>
      <c r="S166" t="str">
        <f t="shared" ca="1" si="32"/>
        <v>NÃO</v>
      </c>
    </row>
    <row r="167" spans="1:19">
      <c r="A167" s="7" t="s">
        <v>431</v>
      </c>
      <c r="B167" s="7" t="s">
        <v>432</v>
      </c>
      <c r="C167" s="29" t="s">
        <v>433</v>
      </c>
      <c r="D167" s="28" t="str">
        <f t="shared" si="22"/>
        <v>08/2026</v>
      </c>
      <c r="E167" s="8">
        <v>4002.3</v>
      </c>
      <c r="F167" s="18">
        <v>1.21</v>
      </c>
      <c r="G167" s="9">
        <v>2</v>
      </c>
      <c r="H167" s="10">
        <v>4.7E-2</v>
      </c>
      <c r="J167" s="12">
        <f t="shared" ca="1" si="23"/>
        <v>78</v>
      </c>
      <c r="K167" s="13">
        <f t="shared" ca="1" si="24"/>
        <v>2.6</v>
      </c>
      <c r="L167" s="14">
        <f t="shared" ca="1" si="25"/>
        <v>4129.434135641025</v>
      </c>
      <c r="M167" s="14">
        <f t="shared" si="26"/>
        <v>80.046000000000006</v>
      </c>
      <c r="N167" s="14">
        <f t="shared" ca="1" si="27"/>
        <v>146.72431800000001</v>
      </c>
      <c r="O167" s="20">
        <f t="shared" ca="1" si="28"/>
        <v>4356.2044536410249</v>
      </c>
      <c r="P167" s="22" t="str">
        <f t="shared" ca="1" si="29"/>
        <v>NÃO</v>
      </c>
      <c r="Q167" t="b">
        <f t="shared" ca="1" si="30"/>
        <v>1</v>
      </c>
      <c r="R167" t="str">
        <f t="shared" ca="1" si="31"/>
        <v>NÃO</v>
      </c>
      <c r="S167" t="str">
        <f t="shared" ca="1" si="32"/>
        <v>NÃO</v>
      </c>
    </row>
    <row r="168" spans="1:19">
      <c r="A168" s="3" t="s">
        <v>434</v>
      </c>
      <c r="B168" s="3" t="s">
        <v>75</v>
      </c>
      <c r="C168" s="28" t="s">
        <v>104</v>
      </c>
      <c r="D168" s="28" t="str">
        <f t="shared" si="22"/>
        <v>09/2025</v>
      </c>
      <c r="E168" s="4">
        <v>752.84</v>
      </c>
      <c r="F168" s="17">
        <v>2.46</v>
      </c>
      <c r="G168" s="5">
        <v>2</v>
      </c>
      <c r="H168" s="6">
        <v>4.8800000000000003E-2</v>
      </c>
      <c r="J168" s="12">
        <f t="shared" ca="1" si="23"/>
        <v>397</v>
      </c>
      <c r="K168" s="13">
        <f t="shared" ca="1" si="24"/>
        <v>13.233333333333333</v>
      </c>
      <c r="L168" s="14">
        <f t="shared" ca="1" si="25"/>
        <v>1038.4173555401171</v>
      </c>
      <c r="M168" s="14">
        <f t="shared" si="26"/>
        <v>15.056800000000001</v>
      </c>
      <c r="N168" s="14">
        <f t="shared" ca="1" si="27"/>
        <v>145.85221024000001</v>
      </c>
      <c r="O168" s="20">
        <f t="shared" ca="1" si="28"/>
        <v>1199.3263657801172</v>
      </c>
      <c r="P168" s="22" t="str">
        <f t="shared" ca="1" si="29"/>
        <v>SIM</v>
      </c>
      <c r="Q168" t="b">
        <f t="shared" ca="1" si="30"/>
        <v>1</v>
      </c>
      <c r="R168" t="str">
        <f t="shared" ca="1" si="31"/>
        <v>SIM</v>
      </c>
      <c r="S168" t="str">
        <f t="shared" ca="1" si="32"/>
        <v>SIM</v>
      </c>
    </row>
    <row r="169" spans="1:19">
      <c r="A169" s="7" t="s">
        <v>435</v>
      </c>
      <c r="B169" s="7" t="s">
        <v>436</v>
      </c>
      <c r="C169" s="29" t="s">
        <v>437</v>
      </c>
      <c r="D169" s="28" t="str">
        <f t="shared" si="22"/>
        <v>08/2026</v>
      </c>
      <c r="E169" s="8">
        <v>472.51</v>
      </c>
      <c r="F169" s="18">
        <v>2.48</v>
      </c>
      <c r="G169" s="9">
        <v>2</v>
      </c>
      <c r="H169" s="10">
        <v>4.1500000000000002E-2</v>
      </c>
      <c r="J169" s="12">
        <f t="shared" ca="1" si="23"/>
        <v>60</v>
      </c>
      <c r="K169" s="13">
        <f t="shared" ca="1" si="24"/>
        <v>2</v>
      </c>
      <c r="L169" s="14">
        <f t="shared" ca="1" si="25"/>
        <v>496.23710855039991</v>
      </c>
      <c r="M169" s="14">
        <f t="shared" si="26"/>
        <v>9.4502000000000006</v>
      </c>
      <c r="N169" s="14">
        <f t="shared" ca="1" si="27"/>
        <v>11.765499</v>
      </c>
      <c r="O169" s="20">
        <f t="shared" ca="1" si="28"/>
        <v>517.45280755039994</v>
      </c>
      <c r="P169" s="22" t="str">
        <f t="shared" ca="1" si="29"/>
        <v>NÃO</v>
      </c>
      <c r="Q169" t="b">
        <f t="shared" ca="1" si="30"/>
        <v>1</v>
      </c>
      <c r="R169" t="str">
        <f t="shared" ca="1" si="31"/>
        <v>NÃO</v>
      </c>
      <c r="S169" t="str">
        <f t="shared" ca="1" si="32"/>
        <v>NÃO</v>
      </c>
    </row>
    <row r="170" spans="1:19">
      <c r="A170" s="3" t="s">
        <v>438</v>
      </c>
      <c r="B170" s="3" t="s">
        <v>439</v>
      </c>
      <c r="C170" s="28" t="s">
        <v>440</v>
      </c>
      <c r="D170" s="28" t="str">
        <f t="shared" si="22"/>
        <v>01/2026</v>
      </c>
      <c r="E170" s="4">
        <v>4165.51</v>
      </c>
      <c r="F170" s="17">
        <v>2.5</v>
      </c>
      <c r="G170" s="5">
        <v>2</v>
      </c>
      <c r="H170" s="6">
        <v>4.5999999999999999E-2</v>
      </c>
      <c r="J170" s="12">
        <f t="shared" ca="1" si="23"/>
        <v>294</v>
      </c>
      <c r="K170" s="13">
        <f t="shared" ca="1" si="24"/>
        <v>9.8000000000000007</v>
      </c>
      <c r="L170" s="14">
        <f t="shared" ca="1" si="25"/>
        <v>5305.9366720593462</v>
      </c>
      <c r="M170" s="14">
        <f t="shared" si="26"/>
        <v>83.310200000000009</v>
      </c>
      <c r="N170" s="14">
        <f t="shared" ca="1" si="27"/>
        <v>563.34357240000008</v>
      </c>
      <c r="O170" s="20">
        <f t="shared" ca="1" si="28"/>
        <v>5952.5904444593461</v>
      </c>
      <c r="P170" s="22" t="str">
        <f t="shared" ca="1" si="29"/>
        <v>SIM</v>
      </c>
      <c r="Q170" t="b">
        <f t="shared" ca="1" si="30"/>
        <v>1</v>
      </c>
      <c r="R170" t="str">
        <f t="shared" ca="1" si="31"/>
        <v>SIM</v>
      </c>
      <c r="S170" t="str">
        <f t="shared" ca="1" si="32"/>
        <v>SIM</v>
      </c>
    </row>
    <row r="171" spans="1:19">
      <c r="A171" s="7" t="s">
        <v>441</v>
      </c>
      <c r="B171" s="7" t="s">
        <v>442</v>
      </c>
      <c r="C171" s="29" t="s">
        <v>421</v>
      </c>
      <c r="D171" s="28" t="str">
        <f t="shared" si="22"/>
        <v>11/2025</v>
      </c>
      <c r="E171" s="8">
        <v>1054.06</v>
      </c>
      <c r="F171" s="18">
        <v>1.47</v>
      </c>
      <c r="G171" s="9">
        <v>2</v>
      </c>
      <c r="H171" s="10">
        <v>4.2700000000000002E-2</v>
      </c>
      <c r="J171" s="12">
        <f t="shared" ca="1" si="23"/>
        <v>339</v>
      </c>
      <c r="K171" s="13">
        <f t="shared" ca="1" si="24"/>
        <v>11.3</v>
      </c>
      <c r="L171" s="14">
        <f t="shared" ca="1" si="25"/>
        <v>1243.0279528850622</v>
      </c>
      <c r="M171" s="14">
        <f t="shared" si="26"/>
        <v>21.081199999999999</v>
      </c>
      <c r="N171" s="14">
        <f t="shared" ca="1" si="27"/>
        <v>152.57834717999998</v>
      </c>
      <c r="O171" s="20">
        <f t="shared" ca="1" si="28"/>
        <v>1416.6875000650623</v>
      </c>
      <c r="P171" s="22" t="str">
        <f t="shared" ca="1" si="29"/>
        <v>SIM</v>
      </c>
      <c r="Q171" t="b">
        <f t="shared" ca="1" si="30"/>
        <v>1</v>
      </c>
      <c r="R171" t="str">
        <f t="shared" ca="1" si="31"/>
        <v>SIM</v>
      </c>
      <c r="S171" t="str">
        <f t="shared" ca="1" si="32"/>
        <v>SIM</v>
      </c>
    </row>
    <row r="172" spans="1:19">
      <c r="A172" s="3" t="s">
        <v>443</v>
      </c>
      <c r="B172" s="3" t="s">
        <v>444</v>
      </c>
      <c r="C172" s="28" t="s">
        <v>244</v>
      </c>
      <c r="D172" s="28" t="str">
        <f t="shared" si="22"/>
        <v>08/2026</v>
      </c>
      <c r="E172" s="4">
        <v>1683.55</v>
      </c>
      <c r="F172" s="17">
        <v>2.1800000000000002</v>
      </c>
      <c r="G172" s="5">
        <v>2</v>
      </c>
      <c r="H172" s="6">
        <v>4.3700000000000003E-2</v>
      </c>
      <c r="J172" s="12">
        <f t="shared" ca="1" si="23"/>
        <v>73</v>
      </c>
      <c r="K172" s="13">
        <f t="shared" ca="1" si="24"/>
        <v>2.4333333333333331</v>
      </c>
      <c r="L172" s="14">
        <f t="shared" ca="1" si="25"/>
        <v>1774.2563643232802</v>
      </c>
      <c r="M172" s="14">
        <f t="shared" si="26"/>
        <v>33.670999999999999</v>
      </c>
      <c r="N172" s="14">
        <f t="shared" ca="1" si="27"/>
        <v>53.706928550000001</v>
      </c>
      <c r="O172" s="20">
        <f t="shared" ca="1" si="28"/>
        <v>1861.6342928732802</v>
      </c>
      <c r="P172" s="22" t="str">
        <f t="shared" ca="1" si="29"/>
        <v>NÃO</v>
      </c>
      <c r="Q172" t="b">
        <f t="shared" ca="1" si="30"/>
        <v>1</v>
      </c>
      <c r="R172" t="str">
        <f t="shared" ca="1" si="31"/>
        <v>NÃO</v>
      </c>
      <c r="S172" t="str">
        <f t="shared" ca="1" si="32"/>
        <v>NÃO</v>
      </c>
    </row>
    <row r="173" spans="1:19">
      <c r="A173" s="7" t="s">
        <v>445</v>
      </c>
      <c r="B173" s="7" t="s">
        <v>446</v>
      </c>
      <c r="C173" s="29" t="s">
        <v>447</v>
      </c>
      <c r="D173" s="28" t="str">
        <f t="shared" si="22"/>
        <v>11/2025</v>
      </c>
      <c r="E173" s="8">
        <v>1978.18</v>
      </c>
      <c r="F173" s="18">
        <v>1.93</v>
      </c>
      <c r="G173" s="9">
        <v>2</v>
      </c>
      <c r="H173" s="10">
        <v>3.5999999999999997E-2</v>
      </c>
      <c r="J173" s="12">
        <f t="shared" ca="1" si="23"/>
        <v>348</v>
      </c>
      <c r="K173" s="13">
        <f t="shared" ca="1" si="24"/>
        <v>11.6</v>
      </c>
      <c r="L173" s="14">
        <f t="shared" ca="1" si="25"/>
        <v>2469.2740226971609</v>
      </c>
      <c r="M173" s="14">
        <f t="shared" si="26"/>
        <v>39.563600000000001</v>
      </c>
      <c r="N173" s="14">
        <f t="shared" ca="1" si="27"/>
        <v>247.82639039999998</v>
      </c>
      <c r="O173" s="20">
        <f t="shared" ca="1" si="28"/>
        <v>2756.6640130971609</v>
      </c>
      <c r="P173" s="22" t="str">
        <f t="shared" ca="1" si="29"/>
        <v>SIM</v>
      </c>
      <c r="Q173" t="b">
        <f t="shared" ca="1" si="30"/>
        <v>1</v>
      </c>
      <c r="R173" t="str">
        <f t="shared" ca="1" si="31"/>
        <v>SIM</v>
      </c>
      <c r="S173" t="str">
        <f t="shared" ca="1" si="32"/>
        <v>SIM</v>
      </c>
    </row>
    <row r="174" spans="1:19">
      <c r="A174" s="3" t="s">
        <v>448</v>
      </c>
      <c r="B174" s="3" t="s">
        <v>449</v>
      </c>
      <c r="C174" s="28" t="s">
        <v>450</v>
      </c>
      <c r="D174" s="28" t="str">
        <f t="shared" si="22"/>
        <v>02/2025</v>
      </c>
      <c r="E174" s="4">
        <v>2950.81</v>
      </c>
      <c r="F174" s="17">
        <v>1.71</v>
      </c>
      <c r="G174" s="5">
        <v>2</v>
      </c>
      <c r="H174" s="6">
        <v>3.78E-2</v>
      </c>
      <c r="J174" s="12">
        <f t="shared" ca="1" si="23"/>
        <v>613</v>
      </c>
      <c r="K174" s="13">
        <f t="shared" ca="1" si="24"/>
        <v>20.433333333333334</v>
      </c>
      <c r="L174" s="14">
        <f t="shared" ca="1" si="25"/>
        <v>4172.5855495731976</v>
      </c>
      <c r="M174" s="14">
        <f t="shared" si="26"/>
        <v>59.016199999999998</v>
      </c>
      <c r="N174" s="14">
        <f t="shared" ca="1" si="27"/>
        <v>683.74398833999999</v>
      </c>
      <c r="O174" s="20">
        <f t="shared" ca="1" si="28"/>
        <v>4915.3457379131978</v>
      </c>
      <c r="P174" s="22" t="str">
        <f t="shared" ca="1" si="29"/>
        <v>SIM</v>
      </c>
      <c r="Q174" t="b">
        <f t="shared" ca="1" si="30"/>
        <v>1</v>
      </c>
      <c r="R174" t="str">
        <f t="shared" ca="1" si="31"/>
        <v>SIM</v>
      </c>
      <c r="S174" t="str">
        <f t="shared" ca="1" si="32"/>
        <v>SIM</v>
      </c>
    </row>
    <row r="175" spans="1:19">
      <c r="A175" s="7" t="s">
        <v>451</v>
      </c>
      <c r="B175" s="7" t="s">
        <v>452</v>
      </c>
      <c r="C175" s="29" t="s">
        <v>453</v>
      </c>
      <c r="D175" s="28" t="str">
        <f t="shared" si="22"/>
        <v>09/2026</v>
      </c>
      <c r="E175" s="8">
        <v>3177.55</v>
      </c>
      <c r="F175" s="18">
        <v>1.23</v>
      </c>
      <c r="G175" s="9">
        <v>2</v>
      </c>
      <c r="H175" s="10">
        <v>4.8800000000000003E-2</v>
      </c>
      <c r="J175" s="12">
        <f t="shared" ca="1" si="23"/>
        <v>27</v>
      </c>
      <c r="K175" s="13">
        <f t="shared" ca="1" si="24"/>
        <v>0.9</v>
      </c>
      <c r="L175" s="14">
        <f t="shared" ca="1" si="25"/>
        <v>3212.7039425199305</v>
      </c>
      <c r="M175" s="14">
        <f t="shared" si="26"/>
        <v>63.551000000000002</v>
      </c>
      <c r="N175" s="14">
        <f t="shared" ca="1" si="27"/>
        <v>41.867398800000004</v>
      </c>
      <c r="O175" s="20">
        <f t="shared" ca="1" si="28"/>
        <v>3318.1223413199305</v>
      </c>
      <c r="P175" s="22" t="str">
        <f t="shared" ca="1" si="29"/>
        <v>NÃO</v>
      </c>
      <c r="Q175" t="b">
        <f t="shared" ca="1" si="30"/>
        <v>1</v>
      </c>
      <c r="R175" t="str">
        <f t="shared" ca="1" si="31"/>
        <v>NÃO</v>
      </c>
      <c r="S175" t="str">
        <f t="shared" ca="1" si="32"/>
        <v>NÃO</v>
      </c>
    </row>
    <row r="176" spans="1:19">
      <c r="A176" s="3" t="s">
        <v>454</v>
      </c>
      <c r="B176" s="3" t="s">
        <v>455</v>
      </c>
      <c r="C176" s="28" t="s">
        <v>456</v>
      </c>
      <c r="D176" s="28" t="str">
        <f t="shared" si="22"/>
        <v>02/2026</v>
      </c>
      <c r="E176" s="4">
        <v>1774.29</v>
      </c>
      <c r="F176" s="17">
        <v>1.28</v>
      </c>
      <c r="G176" s="5">
        <v>2</v>
      </c>
      <c r="H176" s="6">
        <v>4.5900000000000003E-2</v>
      </c>
      <c r="J176" s="12">
        <f t="shared" ca="1" si="23"/>
        <v>241</v>
      </c>
      <c r="K176" s="13">
        <f t="shared" ca="1" si="24"/>
        <v>8.0333333333333332</v>
      </c>
      <c r="L176" s="14">
        <f t="shared" ca="1" si="25"/>
        <v>1965.161600241669</v>
      </c>
      <c r="M176" s="14">
        <f t="shared" si="26"/>
        <v>35.485799999999998</v>
      </c>
      <c r="N176" s="14">
        <f t="shared" ca="1" si="27"/>
        <v>196.27018551000003</v>
      </c>
      <c r="O176" s="20">
        <f t="shared" ca="1" si="28"/>
        <v>2196.9175857516689</v>
      </c>
      <c r="P176" s="22" t="str">
        <f t="shared" ca="1" si="29"/>
        <v>SIM</v>
      </c>
      <c r="Q176" t="b">
        <f t="shared" ca="1" si="30"/>
        <v>1</v>
      </c>
      <c r="R176" t="str">
        <f t="shared" ca="1" si="31"/>
        <v>SIM</v>
      </c>
      <c r="S176" t="str">
        <f t="shared" ca="1" si="32"/>
        <v>SIM</v>
      </c>
    </row>
    <row r="177" spans="1:19">
      <c r="A177" s="7" t="s">
        <v>457</v>
      </c>
      <c r="B177" s="7" t="s">
        <v>458</v>
      </c>
      <c r="C177" s="29" t="s">
        <v>459</v>
      </c>
      <c r="D177" s="28" t="str">
        <f t="shared" si="22"/>
        <v>11/2025</v>
      </c>
      <c r="E177" s="8">
        <v>3746.09</v>
      </c>
      <c r="F177" s="18">
        <v>2.15</v>
      </c>
      <c r="G177" s="9">
        <v>2</v>
      </c>
      <c r="H177" s="10">
        <v>0.05</v>
      </c>
      <c r="J177" s="12">
        <f t="shared" ca="1" si="23"/>
        <v>342</v>
      </c>
      <c r="K177" s="13">
        <f t="shared" ca="1" si="24"/>
        <v>11.4</v>
      </c>
      <c r="L177" s="14">
        <f t="shared" ca="1" si="25"/>
        <v>4774.1453398877666</v>
      </c>
      <c r="M177" s="14">
        <f t="shared" si="26"/>
        <v>74.921800000000005</v>
      </c>
      <c r="N177" s="14">
        <f t="shared" ca="1" si="27"/>
        <v>640.58139000000006</v>
      </c>
      <c r="O177" s="20">
        <f t="shared" ca="1" si="28"/>
        <v>5489.6485298877669</v>
      </c>
      <c r="P177" s="22" t="str">
        <f t="shared" ca="1" si="29"/>
        <v>SIM</v>
      </c>
      <c r="Q177" t="b">
        <f t="shared" ca="1" si="30"/>
        <v>1</v>
      </c>
      <c r="R177" t="str">
        <f t="shared" ca="1" si="31"/>
        <v>SIM</v>
      </c>
      <c r="S177" t="str">
        <f t="shared" ca="1" si="32"/>
        <v>SIM</v>
      </c>
    </row>
    <row r="178" spans="1:19">
      <c r="A178" s="3" t="s">
        <v>460</v>
      </c>
      <c r="B178" s="3" t="s">
        <v>461</v>
      </c>
      <c r="C178" s="28" t="s">
        <v>462</v>
      </c>
      <c r="D178" s="28" t="str">
        <f t="shared" si="22"/>
        <v>04/2026</v>
      </c>
      <c r="E178" s="4">
        <v>3578.86</v>
      </c>
      <c r="F178" s="17">
        <v>2.56</v>
      </c>
      <c r="G178" s="5">
        <v>2</v>
      </c>
      <c r="H178" s="6">
        <v>3.2899999999999999E-2</v>
      </c>
      <c r="J178" s="12">
        <f t="shared" ca="1" si="23"/>
        <v>209</v>
      </c>
      <c r="K178" s="13">
        <f t="shared" ca="1" si="24"/>
        <v>6.9666666666666668</v>
      </c>
      <c r="L178" s="14">
        <f t="shared" ca="1" si="25"/>
        <v>4268.0044268766869</v>
      </c>
      <c r="M178" s="14">
        <f t="shared" si="26"/>
        <v>71.577200000000005</v>
      </c>
      <c r="N178" s="14">
        <f t="shared" ca="1" si="27"/>
        <v>246.08599246</v>
      </c>
      <c r="O178" s="20">
        <f t="shared" ca="1" si="28"/>
        <v>4585.6676193366866</v>
      </c>
      <c r="P178" s="22" t="str">
        <f t="shared" ca="1" si="29"/>
        <v>SIM</v>
      </c>
      <c r="Q178" t="b">
        <f t="shared" ca="1" si="30"/>
        <v>1</v>
      </c>
      <c r="R178" t="str">
        <f t="shared" ca="1" si="31"/>
        <v>SIM</v>
      </c>
      <c r="S178" t="str">
        <f t="shared" ca="1" si="32"/>
        <v>SIM</v>
      </c>
    </row>
    <row r="179" spans="1:19">
      <c r="A179" s="7" t="s">
        <v>463</v>
      </c>
      <c r="B179" s="7" t="s">
        <v>464</v>
      </c>
      <c r="C179" s="29" t="s">
        <v>465</v>
      </c>
      <c r="D179" s="28" t="str">
        <f t="shared" si="22"/>
        <v>08/2025</v>
      </c>
      <c r="E179" s="8">
        <v>3613.21</v>
      </c>
      <c r="F179" s="18">
        <v>1.99</v>
      </c>
      <c r="G179" s="9">
        <v>2</v>
      </c>
      <c r="H179" s="10">
        <v>4.5100000000000001E-2</v>
      </c>
      <c r="J179" s="12">
        <f t="shared" ca="1" si="23"/>
        <v>433</v>
      </c>
      <c r="K179" s="13">
        <f t="shared" ca="1" si="24"/>
        <v>14.433333333333334</v>
      </c>
      <c r="L179" s="14">
        <f t="shared" ca="1" si="25"/>
        <v>4801.8410310449726</v>
      </c>
      <c r="M179" s="14">
        <f t="shared" si="26"/>
        <v>72.264200000000002</v>
      </c>
      <c r="N179" s="14">
        <f t="shared" ca="1" si="27"/>
        <v>705.59848842999997</v>
      </c>
      <c r="O179" s="20">
        <f t="shared" ca="1" si="28"/>
        <v>5579.7037194749719</v>
      </c>
      <c r="P179" s="22" t="str">
        <f t="shared" ca="1" si="29"/>
        <v>SIM</v>
      </c>
      <c r="Q179" t="b">
        <f t="shared" ca="1" si="30"/>
        <v>1</v>
      </c>
      <c r="R179" t="str">
        <f t="shared" ca="1" si="31"/>
        <v>SIM</v>
      </c>
      <c r="S179" t="str">
        <f t="shared" ca="1" si="32"/>
        <v>SIM</v>
      </c>
    </row>
    <row r="180" spans="1:19">
      <c r="A180" s="3" t="s">
        <v>466</v>
      </c>
      <c r="B180" s="3" t="s">
        <v>254</v>
      </c>
      <c r="C180" s="28" t="s">
        <v>252</v>
      </c>
      <c r="D180" s="28" t="str">
        <f t="shared" si="22"/>
        <v>05/2025</v>
      </c>
      <c r="E180" s="4">
        <v>2751.93</v>
      </c>
      <c r="F180" s="17">
        <v>1.76</v>
      </c>
      <c r="G180" s="5">
        <v>2</v>
      </c>
      <c r="H180" s="6">
        <v>3.9100000000000003E-2</v>
      </c>
      <c r="J180" s="12">
        <f t="shared" ca="1" si="23"/>
        <v>527</v>
      </c>
      <c r="K180" s="13">
        <f t="shared" ca="1" si="24"/>
        <v>17.566666666666666</v>
      </c>
      <c r="L180" s="14">
        <f t="shared" ca="1" si="25"/>
        <v>3738.8818619726035</v>
      </c>
      <c r="M180" s="14">
        <f t="shared" si="26"/>
        <v>55.038599999999995</v>
      </c>
      <c r="N180" s="14">
        <f t="shared" ca="1" si="27"/>
        <v>567.05444001000012</v>
      </c>
      <c r="O180" s="20">
        <f t="shared" ca="1" si="28"/>
        <v>4360.9749019826031</v>
      </c>
      <c r="P180" s="22" t="str">
        <f t="shared" ca="1" si="29"/>
        <v>SIM</v>
      </c>
      <c r="Q180" t="b">
        <f t="shared" ca="1" si="30"/>
        <v>1</v>
      </c>
      <c r="R180" t="str">
        <f t="shared" ca="1" si="31"/>
        <v>SIM</v>
      </c>
      <c r="S180" t="str">
        <f t="shared" ca="1" si="32"/>
        <v>SIM</v>
      </c>
    </row>
    <row r="181" spans="1:19">
      <c r="A181" s="7" t="s">
        <v>467</v>
      </c>
      <c r="B181" s="7" t="s">
        <v>399</v>
      </c>
      <c r="C181" s="29" t="s">
        <v>468</v>
      </c>
      <c r="D181" s="28" t="str">
        <f t="shared" si="22"/>
        <v>02/2025</v>
      </c>
      <c r="E181" s="8">
        <v>2768.32</v>
      </c>
      <c r="F181" s="18">
        <v>1.97</v>
      </c>
      <c r="G181" s="9">
        <v>2</v>
      </c>
      <c r="H181" s="10">
        <v>3.8199999999999998E-2</v>
      </c>
      <c r="J181" s="12">
        <f t="shared" ca="1" si="23"/>
        <v>607</v>
      </c>
      <c r="K181" s="13">
        <f t="shared" ca="1" si="24"/>
        <v>20.233333333333334</v>
      </c>
      <c r="L181" s="14">
        <f t="shared" ca="1" si="25"/>
        <v>4108.1053682442134</v>
      </c>
      <c r="M181" s="14">
        <f t="shared" si="26"/>
        <v>55.366400000000006</v>
      </c>
      <c r="N181" s="14">
        <f t="shared" ca="1" si="27"/>
        <v>641.90143168000009</v>
      </c>
      <c r="O181" s="20">
        <f t="shared" ca="1" si="28"/>
        <v>4805.3731999242136</v>
      </c>
      <c r="P181" s="22" t="str">
        <f t="shared" ca="1" si="29"/>
        <v>SIM</v>
      </c>
      <c r="Q181" t="b">
        <f t="shared" ca="1" si="30"/>
        <v>1</v>
      </c>
      <c r="R181" t="str">
        <f t="shared" ca="1" si="31"/>
        <v>SIM</v>
      </c>
      <c r="S181" t="str">
        <f t="shared" ca="1" si="32"/>
        <v>SIM</v>
      </c>
    </row>
    <row r="182" spans="1:19">
      <c r="A182" s="3" t="s">
        <v>469</v>
      </c>
      <c r="B182" s="3" t="s">
        <v>470</v>
      </c>
      <c r="C182" s="28" t="s">
        <v>471</v>
      </c>
      <c r="D182" s="28" t="str">
        <f t="shared" si="22"/>
        <v>06/2025</v>
      </c>
      <c r="E182" s="4">
        <v>3259.57</v>
      </c>
      <c r="F182" s="17">
        <v>2.39</v>
      </c>
      <c r="G182" s="5">
        <v>2</v>
      </c>
      <c r="H182" s="6">
        <v>4.0899999999999999E-2</v>
      </c>
      <c r="J182" s="12">
        <f t="shared" ca="1" si="23"/>
        <v>494</v>
      </c>
      <c r="K182" s="13">
        <f t="shared" ca="1" si="24"/>
        <v>16.466666666666665</v>
      </c>
      <c r="L182" s="14">
        <f t="shared" ca="1" si="25"/>
        <v>4809.1447982858981</v>
      </c>
      <c r="M182" s="14">
        <f t="shared" si="26"/>
        <v>65.191400000000002</v>
      </c>
      <c r="N182" s="14">
        <f t="shared" ca="1" si="27"/>
        <v>658.58308022000006</v>
      </c>
      <c r="O182" s="20">
        <f t="shared" ca="1" si="28"/>
        <v>5532.9192785058976</v>
      </c>
      <c r="P182" s="22" t="str">
        <f t="shared" ca="1" si="29"/>
        <v>SIM</v>
      </c>
      <c r="Q182" t="b">
        <f t="shared" ca="1" si="30"/>
        <v>1</v>
      </c>
      <c r="R182" t="str">
        <f t="shared" ca="1" si="31"/>
        <v>SIM</v>
      </c>
      <c r="S182" t="str">
        <f t="shared" ca="1" si="32"/>
        <v>SIM</v>
      </c>
    </row>
    <row r="183" spans="1:19">
      <c r="A183" s="7" t="s">
        <v>472</v>
      </c>
      <c r="B183" s="7" t="s">
        <v>473</v>
      </c>
      <c r="C183" s="29" t="s">
        <v>474</v>
      </c>
      <c r="D183" s="28" t="str">
        <f t="shared" si="22"/>
        <v>10/2025</v>
      </c>
      <c r="E183" s="8">
        <v>4159.97</v>
      </c>
      <c r="F183" s="18">
        <v>2.92</v>
      </c>
      <c r="G183" s="9">
        <v>2</v>
      </c>
      <c r="H183" s="10">
        <v>3.6900000000000002E-2</v>
      </c>
      <c r="J183" s="12">
        <f t="shared" ca="1" si="23"/>
        <v>363</v>
      </c>
      <c r="K183" s="13">
        <f t="shared" ca="1" si="24"/>
        <v>12.1</v>
      </c>
      <c r="L183" s="14">
        <f t="shared" ca="1" si="25"/>
        <v>5893.0144620343463</v>
      </c>
      <c r="M183" s="14">
        <f t="shared" si="26"/>
        <v>83.199400000000011</v>
      </c>
      <c r="N183" s="14">
        <f t="shared" ca="1" si="27"/>
        <v>557.21550159000003</v>
      </c>
      <c r="O183" s="20">
        <f t="shared" ca="1" si="28"/>
        <v>6533.4293636243465</v>
      </c>
      <c r="P183" s="22" t="str">
        <f t="shared" ca="1" si="29"/>
        <v>SIM</v>
      </c>
      <c r="Q183" t="b">
        <f t="shared" ca="1" si="30"/>
        <v>1</v>
      </c>
      <c r="R183" t="str">
        <f t="shared" ca="1" si="31"/>
        <v>SIM</v>
      </c>
      <c r="S183" t="str">
        <f t="shared" ca="1" si="32"/>
        <v>SIM</v>
      </c>
    </row>
    <row r="184" spans="1:19">
      <c r="A184" s="3" t="s">
        <v>475</v>
      </c>
      <c r="B184" s="3" t="s">
        <v>305</v>
      </c>
      <c r="C184" s="28" t="s">
        <v>476</v>
      </c>
      <c r="D184" s="28" t="str">
        <f t="shared" si="22"/>
        <v>06/2025</v>
      </c>
      <c r="E184" s="4">
        <v>2204.44</v>
      </c>
      <c r="F184" s="17">
        <v>1.58</v>
      </c>
      <c r="G184" s="5">
        <v>2</v>
      </c>
      <c r="H184" s="6">
        <v>4.2299999999999997E-2</v>
      </c>
      <c r="J184" s="12">
        <f t="shared" ca="1" si="23"/>
        <v>509</v>
      </c>
      <c r="K184" s="13">
        <f t="shared" ca="1" si="24"/>
        <v>16.966666666666665</v>
      </c>
      <c r="L184" s="14">
        <f t="shared" ca="1" si="25"/>
        <v>2876.1457270540841</v>
      </c>
      <c r="M184" s="14">
        <f t="shared" si="26"/>
        <v>44.088799999999999</v>
      </c>
      <c r="N184" s="14">
        <f t="shared" ca="1" si="27"/>
        <v>474.63136307999997</v>
      </c>
      <c r="O184" s="20">
        <f t="shared" ca="1" si="28"/>
        <v>3394.8658901340841</v>
      </c>
      <c r="P184" s="22" t="str">
        <f t="shared" ca="1" si="29"/>
        <v>SIM</v>
      </c>
      <c r="Q184" t="b">
        <f t="shared" ca="1" si="30"/>
        <v>1</v>
      </c>
      <c r="R184" t="str">
        <f t="shared" ca="1" si="31"/>
        <v>SIM</v>
      </c>
      <c r="S184" t="str">
        <f t="shared" ca="1" si="32"/>
        <v>SIM</v>
      </c>
    </row>
    <row r="185" spans="1:19">
      <c r="A185" s="7" t="s">
        <v>477</v>
      </c>
      <c r="B185" s="7" t="s">
        <v>478</v>
      </c>
      <c r="C185" s="29" t="s">
        <v>479</v>
      </c>
      <c r="D185" s="28" t="str">
        <f t="shared" si="22"/>
        <v>09/2025</v>
      </c>
      <c r="E185" s="8">
        <v>824.71</v>
      </c>
      <c r="F185" s="18">
        <v>1.2</v>
      </c>
      <c r="G185" s="9">
        <v>2</v>
      </c>
      <c r="H185" s="10">
        <v>3.5099999999999999E-2</v>
      </c>
      <c r="J185" s="12">
        <f t="shared" ca="1" si="23"/>
        <v>420</v>
      </c>
      <c r="K185" s="13">
        <f t="shared" ca="1" si="24"/>
        <v>14</v>
      </c>
      <c r="L185" s="14">
        <f t="shared" ca="1" si="25"/>
        <v>974.60455245656465</v>
      </c>
      <c r="M185" s="14">
        <f t="shared" si="26"/>
        <v>16.494199999999999</v>
      </c>
      <c r="N185" s="14">
        <f t="shared" ca="1" si="27"/>
        <v>121.57874820000002</v>
      </c>
      <c r="O185" s="20">
        <f t="shared" ca="1" si="28"/>
        <v>1112.6775006565647</v>
      </c>
      <c r="P185" s="22" t="str">
        <f t="shared" ca="1" si="29"/>
        <v>SIM</v>
      </c>
      <c r="Q185" t="b">
        <f t="shared" ca="1" si="30"/>
        <v>1</v>
      </c>
      <c r="R185" t="str">
        <f t="shared" ca="1" si="31"/>
        <v>SIM</v>
      </c>
      <c r="S185" t="str">
        <f t="shared" ca="1" si="32"/>
        <v>SIM</v>
      </c>
    </row>
    <row r="186" spans="1:19">
      <c r="A186" s="3" t="s">
        <v>480</v>
      </c>
      <c r="B186" s="3" t="s">
        <v>452</v>
      </c>
      <c r="C186" s="28" t="s">
        <v>481</v>
      </c>
      <c r="D186" s="28" t="str">
        <f t="shared" si="22"/>
        <v>10/2026</v>
      </c>
      <c r="E186" s="4">
        <v>3025.87</v>
      </c>
      <c r="F186" s="17">
        <v>1.2</v>
      </c>
      <c r="G186" s="5">
        <v>2</v>
      </c>
      <c r="H186" s="6">
        <v>4.8399999999999999E-2</v>
      </c>
      <c r="J186" s="12">
        <f t="shared" ca="1" si="23"/>
        <v>7</v>
      </c>
      <c r="K186" s="13">
        <f t="shared" ca="1" si="24"/>
        <v>0.23333333333333334</v>
      </c>
      <c r="L186" s="14">
        <f t="shared" ca="1" si="25"/>
        <v>3034.3037359396139</v>
      </c>
      <c r="M186" s="14">
        <f t="shared" si="26"/>
        <v>60.517399999999995</v>
      </c>
      <c r="N186" s="14">
        <f t="shared" ca="1" si="27"/>
        <v>10.251647559999999</v>
      </c>
      <c r="O186" s="20">
        <f t="shared" ca="1" si="28"/>
        <v>3105.0727834996142</v>
      </c>
      <c r="P186" s="22" t="str">
        <f t="shared" ca="1" si="29"/>
        <v>NÃO</v>
      </c>
      <c r="Q186" t="b">
        <f t="shared" ca="1" si="30"/>
        <v>1</v>
      </c>
      <c r="R186" t="str">
        <f t="shared" ca="1" si="31"/>
        <v>NÃO</v>
      </c>
      <c r="S186" t="str">
        <f t="shared" ca="1" si="32"/>
        <v>NÃO</v>
      </c>
    </row>
    <row r="187" spans="1:19">
      <c r="A187" s="7" t="s">
        <v>482</v>
      </c>
      <c r="B187" s="7" t="s">
        <v>483</v>
      </c>
      <c r="C187" s="29" t="s">
        <v>471</v>
      </c>
      <c r="D187" s="28" t="str">
        <f t="shared" si="22"/>
        <v>06/2025</v>
      </c>
      <c r="E187" s="8">
        <v>261.66000000000003</v>
      </c>
      <c r="F187" s="18">
        <v>2.2999999999999998</v>
      </c>
      <c r="G187" s="9">
        <v>2</v>
      </c>
      <c r="H187" s="10">
        <v>4.5400000000000003E-2</v>
      </c>
      <c r="J187" s="12">
        <f t="shared" ca="1" si="23"/>
        <v>494</v>
      </c>
      <c r="K187" s="13">
        <f t="shared" ca="1" si="24"/>
        <v>16.466666666666665</v>
      </c>
      <c r="L187" s="14">
        <f t="shared" ca="1" si="25"/>
        <v>380.50126549890444</v>
      </c>
      <c r="M187" s="14">
        <f t="shared" si="26"/>
        <v>5.2332000000000001</v>
      </c>
      <c r="N187" s="14">
        <f t="shared" ca="1" si="27"/>
        <v>58.684058160000006</v>
      </c>
      <c r="O187" s="20">
        <f t="shared" ca="1" si="28"/>
        <v>444.41852365890446</v>
      </c>
      <c r="P187" s="22" t="str">
        <f t="shared" ca="1" si="29"/>
        <v>SIM</v>
      </c>
      <c r="Q187" t="b">
        <f t="shared" ca="1" si="30"/>
        <v>1</v>
      </c>
      <c r="R187" t="str">
        <f t="shared" ca="1" si="31"/>
        <v>SIM</v>
      </c>
      <c r="S187" t="str">
        <f t="shared" ca="1" si="32"/>
        <v>SIM</v>
      </c>
    </row>
    <row r="188" spans="1:19">
      <c r="A188" s="3" t="s">
        <v>484</v>
      </c>
      <c r="B188" s="3" t="s">
        <v>485</v>
      </c>
      <c r="C188" s="28" t="s">
        <v>355</v>
      </c>
      <c r="D188" s="28" t="str">
        <f t="shared" si="22"/>
        <v>02/2026</v>
      </c>
      <c r="E188" s="4">
        <v>2207.0300000000002</v>
      </c>
      <c r="F188" s="17">
        <v>2.4700000000000002</v>
      </c>
      <c r="G188" s="5">
        <v>2</v>
      </c>
      <c r="H188" s="6">
        <v>4.87E-2</v>
      </c>
      <c r="J188" s="12">
        <f t="shared" ca="1" si="23"/>
        <v>264</v>
      </c>
      <c r="K188" s="13">
        <f t="shared" ca="1" si="24"/>
        <v>8.8000000000000007</v>
      </c>
      <c r="L188" s="14">
        <f t="shared" ca="1" si="25"/>
        <v>2735.6435896721755</v>
      </c>
      <c r="M188" s="14">
        <f t="shared" si="26"/>
        <v>44.140600000000006</v>
      </c>
      <c r="N188" s="14">
        <f t="shared" ca="1" si="27"/>
        <v>283.75343304000006</v>
      </c>
      <c r="O188" s="20">
        <f t="shared" ca="1" si="28"/>
        <v>3063.5376227121756</v>
      </c>
      <c r="P188" s="22" t="str">
        <f t="shared" ca="1" si="29"/>
        <v>SIM</v>
      </c>
      <c r="Q188" t="b">
        <f t="shared" ca="1" si="30"/>
        <v>1</v>
      </c>
      <c r="R188" t="str">
        <f t="shared" ca="1" si="31"/>
        <v>SIM</v>
      </c>
      <c r="S188" t="str">
        <f t="shared" ca="1" si="32"/>
        <v>SIM</v>
      </c>
    </row>
    <row r="189" spans="1:19">
      <c r="A189" s="7" t="s">
        <v>486</v>
      </c>
      <c r="B189" s="7" t="s">
        <v>54</v>
      </c>
      <c r="C189" s="29" t="s">
        <v>327</v>
      </c>
      <c r="D189" s="28" t="str">
        <f t="shared" si="22"/>
        <v>02/2026</v>
      </c>
      <c r="E189" s="8">
        <v>699.2</v>
      </c>
      <c r="F189" s="18">
        <v>2.97</v>
      </c>
      <c r="G189" s="9">
        <v>2</v>
      </c>
      <c r="H189" s="10">
        <v>4.6800000000000001E-2</v>
      </c>
      <c r="J189" s="12">
        <f t="shared" ca="1" si="23"/>
        <v>243</v>
      </c>
      <c r="K189" s="13">
        <f t="shared" ca="1" si="24"/>
        <v>8.1</v>
      </c>
      <c r="L189" s="14">
        <f t="shared" ca="1" si="25"/>
        <v>886.25396837723656</v>
      </c>
      <c r="M189" s="14">
        <f t="shared" si="26"/>
        <v>13.984000000000002</v>
      </c>
      <c r="N189" s="14">
        <f t="shared" ca="1" si="27"/>
        <v>79.5158208</v>
      </c>
      <c r="O189" s="20">
        <f t="shared" ca="1" si="28"/>
        <v>979.75378917723663</v>
      </c>
      <c r="P189" s="22" t="str">
        <f t="shared" ca="1" si="29"/>
        <v>SIM</v>
      </c>
      <c r="Q189" t="b">
        <f t="shared" ca="1" si="30"/>
        <v>1</v>
      </c>
      <c r="R189" t="str">
        <f t="shared" ca="1" si="31"/>
        <v>SIM</v>
      </c>
      <c r="S189" t="str">
        <f t="shared" ca="1" si="32"/>
        <v>SIM</v>
      </c>
    </row>
    <row r="190" spans="1:19">
      <c r="A190" s="3" t="s">
        <v>487</v>
      </c>
      <c r="B190" s="3" t="s">
        <v>488</v>
      </c>
      <c r="C190" s="28" t="s">
        <v>489</v>
      </c>
      <c r="D190" s="28" t="str">
        <f t="shared" si="22"/>
        <v>08/2025</v>
      </c>
      <c r="E190" s="4">
        <v>4616.08</v>
      </c>
      <c r="F190" s="17">
        <v>2.74</v>
      </c>
      <c r="G190" s="5">
        <v>2</v>
      </c>
      <c r="H190" s="6">
        <v>4.0399999999999998E-2</v>
      </c>
      <c r="J190" s="12">
        <f t="shared" ca="1" si="23"/>
        <v>446</v>
      </c>
      <c r="K190" s="13">
        <f t="shared" ca="1" si="24"/>
        <v>14.866666666666667</v>
      </c>
      <c r="L190" s="14">
        <f t="shared" ca="1" si="25"/>
        <v>6899.2434958057038</v>
      </c>
      <c r="M190" s="14">
        <f t="shared" si="26"/>
        <v>92.321600000000004</v>
      </c>
      <c r="N190" s="14">
        <f t="shared" ca="1" si="27"/>
        <v>831.74375871999996</v>
      </c>
      <c r="O190" s="20">
        <f t="shared" ca="1" si="28"/>
        <v>7823.3088545257042</v>
      </c>
      <c r="P190" s="22" t="str">
        <f t="shared" ca="1" si="29"/>
        <v>SIM</v>
      </c>
      <c r="Q190" t="b">
        <f t="shared" ca="1" si="30"/>
        <v>1</v>
      </c>
      <c r="R190" t="str">
        <f t="shared" ca="1" si="31"/>
        <v>SIM</v>
      </c>
      <c r="S190" t="str">
        <f t="shared" ca="1" si="32"/>
        <v>SIM</v>
      </c>
    </row>
    <row r="191" spans="1:19">
      <c r="A191" s="7" t="s">
        <v>490</v>
      </c>
      <c r="B191" s="7" t="s">
        <v>356</v>
      </c>
      <c r="C191" s="29" t="s">
        <v>491</v>
      </c>
      <c r="D191" s="28" t="str">
        <f t="shared" si="22"/>
        <v>03/2026</v>
      </c>
      <c r="E191" s="8">
        <v>3759.61</v>
      </c>
      <c r="F191" s="18">
        <v>1.41</v>
      </c>
      <c r="G191" s="9">
        <v>2</v>
      </c>
      <c r="H191" s="10">
        <v>4.58E-2</v>
      </c>
      <c r="J191" s="12">
        <f t="shared" ca="1" si="23"/>
        <v>211</v>
      </c>
      <c r="K191" s="13">
        <f t="shared" ca="1" si="24"/>
        <v>7.0333333333333332</v>
      </c>
      <c r="L191" s="14">
        <f t="shared" ca="1" si="25"/>
        <v>4148.6898408136458</v>
      </c>
      <c r="M191" s="14">
        <f t="shared" si="26"/>
        <v>75.1922</v>
      </c>
      <c r="N191" s="14">
        <f t="shared" ca="1" si="27"/>
        <v>363.32119118000003</v>
      </c>
      <c r="O191" s="20">
        <f t="shared" ca="1" si="28"/>
        <v>4587.2032319936461</v>
      </c>
      <c r="P191" s="22" t="str">
        <f t="shared" ca="1" si="29"/>
        <v>SIM</v>
      </c>
      <c r="Q191" t="b">
        <f t="shared" ca="1" si="30"/>
        <v>1</v>
      </c>
      <c r="R191" t="str">
        <f t="shared" ca="1" si="31"/>
        <v>SIM</v>
      </c>
      <c r="S191" t="str">
        <f t="shared" ca="1" si="32"/>
        <v>SIM</v>
      </c>
    </row>
    <row r="192" spans="1:19">
      <c r="A192" s="3" t="s">
        <v>492</v>
      </c>
      <c r="B192" s="3" t="s">
        <v>493</v>
      </c>
      <c r="C192" s="28" t="s">
        <v>161</v>
      </c>
      <c r="D192" s="28" t="str">
        <f t="shared" si="22"/>
        <v>09/2026</v>
      </c>
      <c r="E192" s="4">
        <v>2756.37</v>
      </c>
      <c r="F192" s="17">
        <v>2.84</v>
      </c>
      <c r="G192" s="5">
        <v>2</v>
      </c>
      <c r="H192" s="6">
        <v>3.6900000000000002E-2</v>
      </c>
      <c r="J192" s="12">
        <f t="shared" ca="1" si="23"/>
        <v>56</v>
      </c>
      <c r="K192" s="13">
        <f t="shared" ca="1" si="24"/>
        <v>1.8666666666666667</v>
      </c>
      <c r="L192" s="14">
        <f t="shared" ca="1" si="25"/>
        <v>2904.290413597766</v>
      </c>
      <c r="M192" s="14">
        <f t="shared" si="26"/>
        <v>55.127399999999994</v>
      </c>
      <c r="N192" s="14">
        <f t="shared" ca="1" si="27"/>
        <v>56.957629679999997</v>
      </c>
      <c r="O192" s="20">
        <f t="shared" ca="1" si="28"/>
        <v>3016.375443277766</v>
      </c>
      <c r="P192" s="22" t="str">
        <f t="shared" ca="1" si="29"/>
        <v>NÃO</v>
      </c>
      <c r="Q192" t="b">
        <f t="shared" ca="1" si="30"/>
        <v>1</v>
      </c>
      <c r="R192" t="str">
        <f t="shared" ca="1" si="31"/>
        <v>NÃO</v>
      </c>
      <c r="S192" t="str">
        <f t="shared" ca="1" si="32"/>
        <v>NÃO</v>
      </c>
    </row>
    <row r="193" spans="1:19">
      <c r="A193" s="7" t="s">
        <v>494</v>
      </c>
      <c r="B193" s="7" t="s">
        <v>495</v>
      </c>
      <c r="C193" s="29" t="s">
        <v>496</v>
      </c>
      <c r="D193" s="28" t="str">
        <f t="shared" si="22"/>
        <v>09/2025</v>
      </c>
      <c r="E193" s="8">
        <v>3726.88</v>
      </c>
      <c r="F193" s="18">
        <v>1.9</v>
      </c>
      <c r="G193" s="9">
        <v>2</v>
      </c>
      <c r="H193" s="10">
        <v>3.4500000000000003E-2</v>
      </c>
      <c r="J193" s="12">
        <f t="shared" ca="1" si="23"/>
        <v>414</v>
      </c>
      <c r="K193" s="13">
        <f t="shared" ca="1" si="24"/>
        <v>13.8</v>
      </c>
      <c r="L193" s="14">
        <f t="shared" ca="1" si="25"/>
        <v>4832.2472616434306</v>
      </c>
      <c r="M193" s="14">
        <f t="shared" si="26"/>
        <v>74.537599999999998</v>
      </c>
      <c r="N193" s="14">
        <f t="shared" ca="1" si="27"/>
        <v>532.31027040000004</v>
      </c>
      <c r="O193" s="20">
        <f t="shared" ca="1" si="28"/>
        <v>5439.0951320434306</v>
      </c>
      <c r="P193" s="22" t="str">
        <f t="shared" ca="1" si="29"/>
        <v>SIM</v>
      </c>
      <c r="Q193" t="b">
        <f t="shared" ca="1" si="30"/>
        <v>1</v>
      </c>
      <c r="R193" t="str">
        <f t="shared" ca="1" si="31"/>
        <v>SIM</v>
      </c>
      <c r="S193" t="str">
        <f t="shared" ca="1" si="32"/>
        <v>SIM</v>
      </c>
    </row>
    <row r="194" spans="1:19">
      <c r="A194" s="3" t="s">
        <v>497</v>
      </c>
      <c r="B194" s="3" t="s">
        <v>309</v>
      </c>
      <c r="C194" s="28" t="s">
        <v>279</v>
      </c>
      <c r="D194" s="28" t="str">
        <f t="shared" si="22"/>
        <v>08/2025</v>
      </c>
      <c r="E194" s="4">
        <v>1005.48</v>
      </c>
      <c r="F194" s="17">
        <v>2</v>
      </c>
      <c r="G194" s="5">
        <v>2</v>
      </c>
      <c r="H194" s="6">
        <v>3.8399999999999997E-2</v>
      </c>
      <c r="J194" s="12">
        <f t="shared" ca="1" si="23"/>
        <v>450</v>
      </c>
      <c r="K194" s="13">
        <f t="shared" ca="1" si="24"/>
        <v>15</v>
      </c>
      <c r="L194" s="14">
        <f t="shared" ca="1" si="25"/>
        <v>1353.2436968181455</v>
      </c>
      <c r="M194" s="14">
        <f t="shared" si="26"/>
        <v>20.1096</v>
      </c>
      <c r="N194" s="14">
        <f t="shared" ca="1" si="27"/>
        <v>173.74694399999998</v>
      </c>
      <c r="O194" s="20">
        <f t="shared" ca="1" si="28"/>
        <v>1547.1002408181455</v>
      </c>
      <c r="P194" s="22" t="str">
        <f t="shared" ca="1" si="29"/>
        <v>SIM</v>
      </c>
      <c r="Q194" t="b">
        <f t="shared" ca="1" si="30"/>
        <v>1</v>
      </c>
      <c r="R194" t="str">
        <f t="shared" ca="1" si="31"/>
        <v>SIM</v>
      </c>
      <c r="S194" t="str">
        <f t="shared" ca="1" si="32"/>
        <v>SIM</v>
      </c>
    </row>
    <row r="195" spans="1:19">
      <c r="A195" s="7" t="s">
        <v>498</v>
      </c>
      <c r="B195" s="7" t="s">
        <v>499</v>
      </c>
      <c r="C195" s="29" t="s">
        <v>285</v>
      </c>
      <c r="D195" s="28" t="str">
        <f t="shared" si="22"/>
        <v>07/2025</v>
      </c>
      <c r="E195" s="8">
        <v>3935.4</v>
      </c>
      <c r="F195" s="18">
        <v>1.56</v>
      </c>
      <c r="G195" s="9">
        <v>2</v>
      </c>
      <c r="H195" s="10">
        <v>3.44E-2</v>
      </c>
      <c r="J195" s="12">
        <f t="shared" ca="1" si="23"/>
        <v>473</v>
      </c>
      <c r="K195" s="13">
        <f t="shared" ca="1" si="24"/>
        <v>15.766666666666667</v>
      </c>
      <c r="L195" s="14">
        <f t="shared" ca="1" si="25"/>
        <v>5023.2330599851566</v>
      </c>
      <c r="M195" s="14">
        <f t="shared" si="26"/>
        <v>78.707999999999998</v>
      </c>
      <c r="N195" s="14">
        <f t="shared" ca="1" si="27"/>
        <v>640.33680479999998</v>
      </c>
      <c r="O195" s="20">
        <f t="shared" ca="1" si="28"/>
        <v>5742.2778647851565</v>
      </c>
      <c r="P195" s="22" t="str">
        <f t="shared" ca="1" si="29"/>
        <v>SIM</v>
      </c>
      <c r="Q195" t="b">
        <f t="shared" ca="1" si="30"/>
        <v>1</v>
      </c>
      <c r="R195" t="str">
        <f t="shared" ca="1" si="31"/>
        <v>SIM</v>
      </c>
      <c r="S195" t="str">
        <f t="shared" ca="1" si="32"/>
        <v>SIM</v>
      </c>
    </row>
    <row r="196" spans="1:19">
      <c r="A196" s="3" t="s">
        <v>500</v>
      </c>
      <c r="B196" s="3" t="s">
        <v>273</v>
      </c>
      <c r="C196" s="28" t="s">
        <v>22</v>
      </c>
      <c r="D196" s="28" t="str">
        <f t="shared" si="22"/>
        <v>05/2026</v>
      </c>
      <c r="E196" s="4">
        <v>1013.47</v>
      </c>
      <c r="F196" s="17">
        <v>2.92</v>
      </c>
      <c r="G196" s="5">
        <v>2</v>
      </c>
      <c r="H196" s="6">
        <v>3.3000000000000002E-2</v>
      </c>
      <c r="J196" s="12">
        <f t="shared" ca="1" si="23"/>
        <v>165</v>
      </c>
      <c r="K196" s="13">
        <f t="shared" ca="1" si="24"/>
        <v>5.5</v>
      </c>
      <c r="L196" s="14">
        <f t="shared" ca="1" si="25"/>
        <v>1187.2978298877197</v>
      </c>
      <c r="M196" s="14">
        <f t="shared" si="26"/>
        <v>20.269400000000001</v>
      </c>
      <c r="N196" s="14">
        <f t="shared" ca="1" si="27"/>
        <v>55.183441500000001</v>
      </c>
      <c r="O196" s="20">
        <f t="shared" ca="1" si="28"/>
        <v>1262.7506713877196</v>
      </c>
      <c r="P196" s="22" t="str">
        <f t="shared" ca="1" si="29"/>
        <v>SIM</v>
      </c>
      <c r="Q196" t="b">
        <f t="shared" ca="1" si="30"/>
        <v>1</v>
      </c>
      <c r="R196" t="str">
        <f t="shared" ca="1" si="31"/>
        <v>SIM</v>
      </c>
      <c r="S196" t="str">
        <f t="shared" ca="1" si="32"/>
        <v>SIM</v>
      </c>
    </row>
    <row r="197" spans="1:19">
      <c r="A197" s="7" t="s">
        <v>501</v>
      </c>
      <c r="B197" s="7" t="s">
        <v>502</v>
      </c>
      <c r="C197" s="29" t="s">
        <v>503</v>
      </c>
      <c r="D197" s="28" t="str">
        <f t="shared" ref="D197:D260" si="33">MID(C197,4,7)</f>
        <v>10/2026</v>
      </c>
      <c r="E197" s="8">
        <v>563.95000000000005</v>
      </c>
      <c r="F197" s="18">
        <v>2.99</v>
      </c>
      <c r="G197" s="9">
        <v>2</v>
      </c>
      <c r="H197" s="10">
        <v>0.04</v>
      </c>
      <c r="J197" s="12">
        <f t="shared" ref="J197:J260" ca="1" si="34">I$4-C197</f>
        <v>-1</v>
      </c>
      <c r="K197" s="13">
        <f t="shared" ref="K197:K260" ca="1" si="35">J197/30</f>
        <v>-3.3333333333333333E-2</v>
      </c>
      <c r="L197" s="14">
        <f t="shared" ref="L197:L260" ca="1" si="36">E197*POWER(1+F197/100,K197)</f>
        <v>563.39644080986704</v>
      </c>
      <c r="M197" s="14">
        <f t="shared" ref="M197:M260" si="37">E197*G197/100</f>
        <v>11.279000000000002</v>
      </c>
      <c r="N197" s="14">
        <f t="shared" ref="N197:N260" ca="1" si="38">E197*H197/100*J197</f>
        <v>-0.22558000000000003</v>
      </c>
      <c r="O197" s="20">
        <f t="shared" ref="O197:O260" ca="1" si="39">L197+M197+N197</f>
        <v>574.449860809867</v>
      </c>
      <c r="P197" s="22" t="str">
        <f t="shared" ref="P197:P260" ca="1" si="40">IF(J197&gt;=90,"SIM","NÃO")</f>
        <v>NÃO</v>
      </c>
      <c r="Q197" t="b">
        <f t="shared" ref="Q197:Q260" ca="1" si="41">O197&gt;300</f>
        <v>1</v>
      </c>
      <c r="R197" t="str">
        <f t="shared" ref="R197:R260" ca="1" si="42">IF(AND(P197="SIM",Q197=TRUE), "SIM","NÃO")</f>
        <v>NÃO</v>
      </c>
      <c r="S197" t="str">
        <f t="shared" ref="S197:S260" ca="1" si="43">IF(OR(P197="SIM",YEAR(TODAY())-YEAR(C197)&gt;=1), "SIM", "NÃO")</f>
        <v>NÃO</v>
      </c>
    </row>
    <row r="198" spans="1:19">
      <c r="A198" s="3" t="s">
        <v>504</v>
      </c>
      <c r="B198" s="3" t="s">
        <v>505</v>
      </c>
      <c r="C198" s="28" t="s">
        <v>506</v>
      </c>
      <c r="D198" s="28" t="str">
        <f t="shared" si="33"/>
        <v>07/2025</v>
      </c>
      <c r="E198" s="4">
        <v>3787.31</v>
      </c>
      <c r="F198" s="17">
        <v>1.42</v>
      </c>
      <c r="G198" s="5">
        <v>2</v>
      </c>
      <c r="H198" s="6">
        <v>4.8000000000000001E-2</v>
      </c>
      <c r="J198" s="12">
        <f t="shared" ca="1" si="34"/>
        <v>480</v>
      </c>
      <c r="K198" s="13">
        <f t="shared" ca="1" si="35"/>
        <v>16</v>
      </c>
      <c r="L198" s="14">
        <f t="shared" ca="1" si="36"/>
        <v>4745.790405167978</v>
      </c>
      <c r="M198" s="14">
        <f t="shared" si="37"/>
        <v>75.746200000000002</v>
      </c>
      <c r="N198" s="14">
        <f t="shared" ca="1" si="38"/>
        <v>872.59622399999989</v>
      </c>
      <c r="O198" s="20">
        <f t="shared" ca="1" si="39"/>
        <v>5694.1328291679774</v>
      </c>
      <c r="P198" s="22" t="str">
        <f t="shared" ca="1" si="40"/>
        <v>SIM</v>
      </c>
      <c r="Q198" t="b">
        <f t="shared" ca="1" si="41"/>
        <v>1</v>
      </c>
      <c r="R198" t="str">
        <f t="shared" ca="1" si="42"/>
        <v>SIM</v>
      </c>
      <c r="S198" t="str">
        <f t="shared" ca="1" si="43"/>
        <v>SIM</v>
      </c>
    </row>
    <row r="199" spans="1:19">
      <c r="A199" s="7" t="s">
        <v>507</v>
      </c>
      <c r="B199" s="7" t="s">
        <v>139</v>
      </c>
      <c r="C199" s="29" t="s">
        <v>508</v>
      </c>
      <c r="D199" s="28" t="str">
        <f t="shared" si="33"/>
        <v>03/2025</v>
      </c>
      <c r="E199" s="8">
        <v>1074.8399999999999</v>
      </c>
      <c r="F199" s="18">
        <v>1.07</v>
      </c>
      <c r="G199" s="9">
        <v>2</v>
      </c>
      <c r="H199" s="10">
        <v>3.9399999999999998E-2</v>
      </c>
      <c r="J199" s="12">
        <f t="shared" ca="1" si="34"/>
        <v>589</v>
      </c>
      <c r="K199" s="13">
        <f t="shared" ca="1" si="35"/>
        <v>19.633333333333333</v>
      </c>
      <c r="L199" s="14">
        <f t="shared" ca="1" si="36"/>
        <v>1324.6291364309475</v>
      </c>
      <c r="M199" s="14">
        <f t="shared" si="37"/>
        <v>21.496799999999997</v>
      </c>
      <c r="N199" s="14">
        <f t="shared" ca="1" si="38"/>
        <v>249.43381943999998</v>
      </c>
      <c r="O199" s="20">
        <f t="shared" ca="1" si="39"/>
        <v>1595.5597558709474</v>
      </c>
      <c r="P199" s="22" t="str">
        <f t="shared" ca="1" si="40"/>
        <v>SIM</v>
      </c>
      <c r="Q199" t="b">
        <f t="shared" ca="1" si="41"/>
        <v>1</v>
      </c>
      <c r="R199" t="str">
        <f t="shared" ca="1" si="42"/>
        <v>SIM</v>
      </c>
      <c r="S199" t="str">
        <f t="shared" ca="1" si="43"/>
        <v>SIM</v>
      </c>
    </row>
    <row r="200" spans="1:19">
      <c r="A200" s="3" t="s">
        <v>509</v>
      </c>
      <c r="B200" s="3" t="s">
        <v>456</v>
      </c>
      <c r="C200" s="28" t="s">
        <v>510</v>
      </c>
      <c r="D200" s="28" t="str">
        <f t="shared" si="33"/>
        <v>04/2026</v>
      </c>
      <c r="E200" s="4">
        <v>468.69</v>
      </c>
      <c r="F200" s="17">
        <v>2.5499999999999998</v>
      </c>
      <c r="G200" s="5">
        <v>2</v>
      </c>
      <c r="H200" s="6">
        <v>3.9100000000000003E-2</v>
      </c>
      <c r="J200" s="12">
        <f t="shared" ca="1" si="34"/>
        <v>208</v>
      </c>
      <c r="K200" s="13">
        <f t="shared" ca="1" si="35"/>
        <v>6.9333333333333336</v>
      </c>
      <c r="L200" s="14">
        <f t="shared" ca="1" si="36"/>
        <v>558.09264118800115</v>
      </c>
      <c r="M200" s="14">
        <f t="shared" si="37"/>
        <v>9.3737999999999992</v>
      </c>
      <c r="N200" s="14">
        <f t="shared" ca="1" si="38"/>
        <v>38.11762032</v>
      </c>
      <c r="O200" s="20">
        <f t="shared" ca="1" si="39"/>
        <v>605.58406150800113</v>
      </c>
      <c r="P200" s="22" t="str">
        <f t="shared" ca="1" si="40"/>
        <v>SIM</v>
      </c>
      <c r="Q200" t="b">
        <f t="shared" ca="1" si="41"/>
        <v>1</v>
      </c>
      <c r="R200" t="str">
        <f t="shared" ca="1" si="42"/>
        <v>SIM</v>
      </c>
      <c r="S200" t="str">
        <f t="shared" ca="1" si="43"/>
        <v>SIM</v>
      </c>
    </row>
    <row r="201" spans="1:19">
      <c r="A201" s="7" t="s">
        <v>511</v>
      </c>
      <c r="B201" s="7" t="s">
        <v>419</v>
      </c>
      <c r="C201" s="29" t="s">
        <v>512</v>
      </c>
      <c r="D201" s="28" t="str">
        <f t="shared" si="33"/>
        <v>08/2025</v>
      </c>
      <c r="E201" s="8">
        <v>2287.6999999999998</v>
      </c>
      <c r="F201" s="18">
        <v>1.8</v>
      </c>
      <c r="G201" s="9">
        <v>2</v>
      </c>
      <c r="H201" s="10">
        <v>4.1200000000000001E-2</v>
      </c>
      <c r="J201" s="12">
        <f t="shared" ca="1" si="34"/>
        <v>435</v>
      </c>
      <c r="K201" s="13">
        <f t="shared" ca="1" si="35"/>
        <v>14.5</v>
      </c>
      <c r="L201" s="14">
        <f t="shared" ca="1" si="36"/>
        <v>2963.0696026029746</v>
      </c>
      <c r="M201" s="14">
        <f t="shared" si="37"/>
        <v>45.753999999999998</v>
      </c>
      <c r="N201" s="14">
        <f t="shared" ca="1" si="38"/>
        <v>410.00159399999995</v>
      </c>
      <c r="O201" s="20">
        <f t="shared" ca="1" si="39"/>
        <v>3418.8251966029743</v>
      </c>
      <c r="P201" s="22" t="str">
        <f t="shared" ca="1" si="40"/>
        <v>SIM</v>
      </c>
      <c r="Q201" t="b">
        <f t="shared" ca="1" si="41"/>
        <v>1</v>
      </c>
      <c r="R201" t="str">
        <f t="shared" ca="1" si="42"/>
        <v>SIM</v>
      </c>
      <c r="S201" t="str">
        <f t="shared" ca="1" si="43"/>
        <v>SIM</v>
      </c>
    </row>
    <row r="202" spans="1:19">
      <c r="A202" s="3" t="s">
        <v>513</v>
      </c>
      <c r="B202" s="3" t="s">
        <v>224</v>
      </c>
      <c r="C202" s="28" t="s">
        <v>514</v>
      </c>
      <c r="D202" s="28" t="str">
        <f t="shared" si="33"/>
        <v>11/2025</v>
      </c>
      <c r="E202" s="4">
        <v>516.19000000000005</v>
      </c>
      <c r="F202" s="17">
        <v>2.5099999999999998</v>
      </c>
      <c r="G202" s="5">
        <v>2</v>
      </c>
      <c r="H202" s="6">
        <v>3.5400000000000001E-2</v>
      </c>
      <c r="J202" s="12">
        <f t="shared" ca="1" si="34"/>
        <v>358</v>
      </c>
      <c r="K202" s="13">
        <f t="shared" ca="1" si="35"/>
        <v>11.933333333333334</v>
      </c>
      <c r="L202" s="14">
        <f t="shared" ca="1" si="36"/>
        <v>693.8836273598132</v>
      </c>
      <c r="M202" s="14">
        <f t="shared" si="37"/>
        <v>10.3238</v>
      </c>
      <c r="N202" s="14">
        <f t="shared" ca="1" si="38"/>
        <v>65.417791080000001</v>
      </c>
      <c r="O202" s="20">
        <f t="shared" ca="1" si="39"/>
        <v>769.62521843981324</v>
      </c>
      <c r="P202" s="22" t="str">
        <f t="shared" ca="1" si="40"/>
        <v>SIM</v>
      </c>
      <c r="Q202" t="b">
        <f t="shared" ca="1" si="41"/>
        <v>1</v>
      </c>
      <c r="R202" t="str">
        <f t="shared" ca="1" si="42"/>
        <v>SIM</v>
      </c>
      <c r="S202" t="str">
        <f t="shared" ca="1" si="43"/>
        <v>SIM</v>
      </c>
    </row>
    <row r="203" spans="1:19">
      <c r="A203" s="7" t="s">
        <v>515</v>
      </c>
      <c r="B203" s="7" t="s">
        <v>516</v>
      </c>
      <c r="C203" s="29" t="s">
        <v>517</v>
      </c>
      <c r="D203" s="28" t="str">
        <f t="shared" si="33"/>
        <v>07/2025</v>
      </c>
      <c r="E203" s="8">
        <v>4033.64</v>
      </c>
      <c r="F203" s="18">
        <v>2.96</v>
      </c>
      <c r="G203" s="9">
        <v>2</v>
      </c>
      <c r="H203" s="10">
        <v>4.6800000000000001E-2</v>
      </c>
      <c r="J203" s="12">
        <f t="shared" ca="1" si="34"/>
        <v>461</v>
      </c>
      <c r="K203" s="13">
        <f t="shared" ca="1" si="35"/>
        <v>15.366666666666667</v>
      </c>
      <c r="L203" s="14">
        <f t="shared" ca="1" si="36"/>
        <v>6314.9551813804128</v>
      </c>
      <c r="M203" s="14">
        <f t="shared" si="37"/>
        <v>80.672799999999995</v>
      </c>
      <c r="N203" s="14">
        <f t="shared" ca="1" si="38"/>
        <v>870.24976271999992</v>
      </c>
      <c r="O203" s="20">
        <f t="shared" ca="1" si="39"/>
        <v>7265.8777441004131</v>
      </c>
      <c r="P203" s="22" t="str">
        <f t="shared" ca="1" si="40"/>
        <v>SIM</v>
      </c>
      <c r="Q203" t="b">
        <f t="shared" ca="1" si="41"/>
        <v>1</v>
      </c>
      <c r="R203" t="str">
        <f t="shared" ca="1" si="42"/>
        <v>SIM</v>
      </c>
      <c r="S203" t="str">
        <f t="shared" ca="1" si="43"/>
        <v>SIM</v>
      </c>
    </row>
    <row r="204" spans="1:19">
      <c r="A204" s="3" t="s">
        <v>518</v>
      </c>
      <c r="B204" s="3" t="s">
        <v>455</v>
      </c>
      <c r="C204" s="28" t="s">
        <v>519</v>
      </c>
      <c r="D204" s="28" t="str">
        <f t="shared" si="33"/>
        <v>03/2026</v>
      </c>
      <c r="E204" s="4">
        <v>2128.7199999999998</v>
      </c>
      <c r="F204" s="17">
        <v>2.1</v>
      </c>
      <c r="G204" s="5">
        <v>2</v>
      </c>
      <c r="H204" s="6">
        <v>3.5099999999999999E-2</v>
      </c>
      <c r="J204" s="12">
        <f t="shared" ca="1" si="34"/>
        <v>231</v>
      </c>
      <c r="K204" s="13">
        <f t="shared" ca="1" si="35"/>
        <v>7.7</v>
      </c>
      <c r="L204" s="14">
        <f t="shared" ca="1" si="36"/>
        <v>2498.1398922169337</v>
      </c>
      <c r="M204" s="14">
        <f t="shared" si="37"/>
        <v>42.574399999999997</v>
      </c>
      <c r="N204" s="14">
        <f t="shared" ca="1" si="38"/>
        <v>172.59874631999998</v>
      </c>
      <c r="O204" s="20">
        <f t="shared" ca="1" si="39"/>
        <v>2713.3130385369336</v>
      </c>
      <c r="P204" s="22" t="str">
        <f t="shared" ca="1" si="40"/>
        <v>SIM</v>
      </c>
      <c r="Q204" t="b">
        <f t="shared" ca="1" si="41"/>
        <v>1</v>
      </c>
      <c r="R204" t="str">
        <f t="shared" ca="1" si="42"/>
        <v>SIM</v>
      </c>
      <c r="S204" t="str">
        <f t="shared" ca="1" si="43"/>
        <v>SIM</v>
      </c>
    </row>
    <row r="205" spans="1:19">
      <c r="A205" s="7" t="s">
        <v>520</v>
      </c>
      <c r="B205" s="7" t="s">
        <v>521</v>
      </c>
      <c r="C205" s="29" t="s">
        <v>522</v>
      </c>
      <c r="D205" s="28" t="str">
        <f t="shared" si="33"/>
        <v>05/2026</v>
      </c>
      <c r="E205" s="8">
        <v>3035.99</v>
      </c>
      <c r="F205" s="18">
        <v>1.68</v>
      </c>
      <c r="G205" s="9">
        <v>2</v>
      </c>
      <c r="H205" s="10">
        <v>4.1399999999999999E-2</v>
      </c>
      <c r="J205" s="12">
        <f t="shared" ca="1" si="34"/>
        <v>179</v>
      </c>
      <c r="K205" s="13">
        <f t="shared" ca="1" si="35"/>
        <v>5.9666666666666668</v>
      </c>
      <c r="L205" s="14">
        <f t="shared" ca="1" si="36"/>
        <v>3353.2997567280368</v>
      </c>
      <c r="M205" s="14">
        <f t="shared" si="37"/>
        <v>60.719799999999992</v>
      </c>
      <c r="N205" s="14">
        <f t="shared" ca="1" si="38"/>
        <v>224.98507493999998</v>
      </c>
      <c r="O205" s="20">
        <f t="shared" ca="1" si="39"/>
        <v>3639.0046316680364</v>
      </c>
      <c r="P205" s="22" t="str">
        <f t="shared" ca="1" si="40"/>
        <v>SIM</v>
      </c>
      <c r="Q205" t="b">
        <f t="shared" ca="1" si="41"/>
        <v>1</v>
      </c>
      <c r="R205" t="str">
        <f t="shared" ca="1" si="42"/>
        <v>SIM</v>
      </c>
      <c r="S205" t="str">
        <f t="shared" ca="1" si="43"/>
        <v>SIM</v>
      </c>
    </row>
    <row r="206" spans="1:19">
      <c r="A206" s="3" t="s">
        <v>523</v>
      </c>
      <c r="B206" s="3" t="s">
        <v>194</v>
      </c>
      <c r="C206" s="28" t="s">
        <v>524</v>
      </c>
      <c r="D206" s="28" t="str">
        <f t="shared" si="33"/>
        <v>03/2025</v>
      </c>
      <c r="E206" s="4">
        <v>2850.1</v>
      </c>
      <c r="F206" s="17">
        <v>2.44</v>
      </c>
      <c r="G206" s="5">
        <v>2</v>
      </c>
      <c r="H206" s="6">
        <v>4.6100000000000002E-2</v>
      </c>
      <c r="J206" s="12">
        <f t="shared" ca="1" si="34"/>
        <v>599</v>
      </c>
      <c r="K206" s="13">
        <f t="shared" ca="1" si="35"/>
        <v>19.966666666666665</v>
      </c>
      <c r="L206" s="14">
        <f t="shared" ca="1" si="36"/>
        <v>4612.1402837880214</v>
      </c>
      <c r="M206" s="14">
        <f t="shared" si="37"/>
        <v>57.001999999999995</v>
      </c>
      <c r="N206" s="14">
        <f t="shared" ca="1" si="38"/>
        <v>787.02376390000006</v>
      </c>
      <c r="O206" s="20">
        <f t="shared" ca="1" si="39"/>
        <v>5456.1660476880215</v>
      </c>
      <c r="P206" s="22" t="str">
        <f t="shared" ca="1" si="40"/>
        <v>SIM</v>
      </c>
      <c r="Q206" t="b">
        <f t="shared" ca="1" si="41"/>
        <v>1</v>
      </c>
      <c r="R206" t="str">
        <f t="shared" ca="1" si="42"/>
        <v>SIM</v>
      </c>
      <c r="S206" t="str">
        <f t="shared" ca="1" si="43"/>
        <v>SIM</v>
      </c>
    </row>
    <row r="207" spans="1:19">
      <c r="A207" s="7" t="s">
        <v>525</v>
      </c>
      <c r="B207" s="7" t="s">
        <v>526</v>
      </c>
      <c r="C207" s="29" t="s">
        <v>173</v>
      </c>
      <c r="D207" s="28" t="str">
        <f t="shared" si="33"/>
        <v>04/2025</v>
      </c>
      <c r="E207" s="8">
        <v>3075.51</v>
      </c>
      <c r="F207" s="18">
        <v>2.61</v>
      </c>
      <c r="G207" s="9">
        <v>2</v>
      </c>
      <c r="H207" s="10">
        <v>4.9299999999999997E-2</v>
      </c>
      <c r="J207" s="12">
        <f t="shared" ca="1" si="34"/>
        <v>549</v>
      </c>
      <c r="K207" s="13">
        <f t="shared" ca="1" si="35"/>
        <v>18.3</v>
      </c>
      <c r="L207" s="14">
        <f t="shared" ca="1" si="36"/>
        <v>4928.2011613591785</v>
      </c>
      <c r="M207" s="14">
        <f t="shared" si="37"/>
        <v>61.510200000000005</v>
      </c>
      <c r="N207" s="14">
        <f t="shared" ca="1" si="38"/>
        <v>832.40831007000008</v>
      </c>
      <c r="O207" s="20">
        <f t="shared" ca="1" si="39"/>
        <v>5822.1196714291782</v>
      </c>
      <c r="P207" s="22" t="str">
        <f t="shared" ca="1" si="40"/>
        <v>SIM</v>
      </c>
      <c r="Q207" t="b">
        <f t="shared" ca="1" si="41"/>
        <v>1</v>
      </c>
      <c r="R207" t="str">
        <f t="shared" ca="1" si="42"/>
        <v>SIM</v>
      </c>
      <c r="S207" t="str">
        <f t="shared" ca="1" si="43"/>
        <v>SIM</v>
      </c>
    </row>
    <row r="208" spans="1:19">
      <c r="A208" s="3" t="s">
        <v>527</v>
      </c>
      <c r="B208" s="3" t="s">
        <v>22</v>
      </c>
      <c r="C208" s="28" t="s">
        <v>528</v>
      </c>
      <c r="D208" s="28" t="str">
        <f t="shared" si="33"/>
        <v>06/2026</v>
      </c>
      <c r="E208" s="4">
        <v>834.25</v>
      </c>
      <c r="F208" s="17">
        <v>1.81</v>
      </c>
      <c r="G208" s="5">
        <v>2</v>
      </c>
      <c r="H208" s="6">
        <v>3.6499999999999998E-2</v>
      </c>
      <c r="J208" s="12">
        <f t="shared" ca="1" si="34"/>
        <v>146</v>
      </c>
      <c r="K208" s="13">
        <f t="shared" ca="1" si="35"/>
        <v>4.8666666666666663</v>
      </c>
      <c r="L208" s="14">
        <f t="shared" ca="1" si="36"/>
        <v>910.35268522005845</v>
      </c>
      <c r="M208" s="14">
        <f t="shared" si="37"/>
        <v>16.684999999999999</v>
      </c>
      <c r="N208" s="14">
        <f t="shared" ca="1" si="38"/>
        <v>44.457182499999995</v>
      </c>
      <c r="O208" s="20">
        <f t="shared" ca="1" si="39"/>
        <v>971.49486772005844</v>
      </c>
      <c r="P208" s="22" t="str">
        <f t="shared" ca="1" si="40"/>
        <v>SIM</v>
      </c>
      <c r="Q208" t="b">
        <f t="shared" ca="1" si="41"/>
        <v>1</v>
      </c>
      <c r="R208" t="str">
        <f t="shared" ca="1" si="42"/>
        <v>SIM</v>
      </c>
      <c r="S208" t="str">
        <f t="shared" ca="1" si="43"/>
        <v>SIM</v>
      </c>
    </row>
    <row r="209" spans="1:19">
      <c r="A209" s="7" t="s">
        <v>529</v>
      </c>
      <c r="B209" s="7" t="s">
        <v>530</v>
      </c>
      <c r="C209" s="29" t="s">
        <v>531</v>
      </c>
      <c r="D209" s="28" t="str">
        <f t="shared" si="33"/>
        <v>01/2025</v>
      </c>
      <c r="E209" s="8">
        <v>564.72</v>
      </c>
      <c r="F209" s="18">
        <v>1.42</v>
      </c>
      <c r="G209" s="9">
        <v>2</v>
      </c>
      <c r="H209" s="10">
        <v>3.0499999999999999E-2</v>
      </c>
      <c r="J209" s="12">
        <f t="shared" ca="1" si="34"/>
        <v>634</v>
      </c>
      <c r="K209" s="13">
        <f t="shared" ca="1" si="35"/>
        <v>21.133333333333333</v>
      </c>
      <c r="L209" s="14">
        <f t="shared" ca="1" si="36"/>
        <v>760.75598929298758</v>
      </c>
      <c r="M209" s="14">
        <f t="shared" si="37"/>
        <v>11.294400000000001</v>
      </c>
      <c r="N209" s="14">
        <f t="shared" ca="1" si="38"/>
        <v>109.19990640000002</v>
      </c>
      <c r="O209" s="20">
        <f t="shared" ca="1" si="39"/>
        <v>881.25029569298761</v>
      </c>
      <c r="P209" s="22" t="str">
        <f t="shared" ca="1" si="40"/>
        <v>SIM</v>
      </c>
      <c r="Q209" t="b">
        <f t="shared" ca="1" si="41"/>
        <v>1</v>
      </c>
      <c r="R209" t="str">
        <f t="shared" ca="1" si="42"/>
        <v>SIM</v>
      </c>
      <c r="S209" t="str">
        <f t="shared" ca="1" si="43"/>
        <v>SIM</v>
      </c>
    </row>
    <row r="210" spans="1:19">
      <c r="A210" s="3" t="s">
        <v>532</v>
      </c>
      <c r="B210" s="3" t="s">
        <v>533</v>
      </c>
      <c r="C210" s="28" t="s">
        <v>534</v>
      </c>
      <c r="D210" s="28" t="str">
        <f t="shared" si="33"/>
        <v>02/2026</v>
      </c>
      <c r="E210" s="4">
        <v>2977.75</v>
      </c>
      <c r="F210" s="17">
        <v>1.84</v>
      </c>
      <c r="G210" s="5">
        <v>2</v>
      </c>
      <c r="H210" s="6">
        <v>4.7899999999999998E-2</v>
      </c>
      <c r="J210" s="12">
        <f t="shared" ca="1" si="34"/>
        <v>251</v>
      </c>
      <c r="K210" s="13">
        <f t="shared" ca="1" si="35"/>
        <v>8.3666666666666671</v>
      </c>
      <c r="L210" s="14">
        <f t="shared" ca="1" si="36"/>
        <v>3468.4765959816068</v>
      </c>
      <c r="M210" s="14">
        <f t="shared" si="37"/>
        <v>59.555</v>
      </c>
      <c r="N210" s="14">
        <f t="shared" ca="1" si="38"/>
        <v>358.01190474999993</v>
      </c>
      <c r="O210" s="20">
        <f t="shared" ca="1" si="39"/>
        <v>3886.0435007316064</v>
      </c>
      <c r="P210" s="22" t="str">
        <f t="shared" ca="1" si="40"/>
        <v>SIM</v>
      </c>
      <c r="Q210" t="b">
        <f t="shared" ca="1" si="41"/>
        <v>1</v>
      </c>
      <c r="R210" t="str">
        <f t="shared" ca="1" si="42"/>
        <v>SIM</v>
      </c>
      <c r="S210" t="str">
        <f t="shared" ca="1" si="43"/>
        <v>SIM</v>
      </c>
    </row>
    <row r="211" spans="1:19">
      <c r="A211" s="7" t="s">
        <v>535</v>
      </c>
      <c r="B211" s="7" t="s">
        <v>536</v>
      </c>
      <c r="C211" s="29" t="s">
        <v>68</v>
      </c>
      <c r="D211" s="28" t="str">
        <f t="shared" si="33"/>
        <v>07/2026</v>
      </c>
      <c r="E211" s="8">
        <v>4151.7700000000004</v>
      </c>
      <c r="F211" s="18">
        <v>1.73</v>
      </c>
      <c r="G211" s="9">
        <v>2</v>
      </c>
      <c r="H211" s="10">
        <v>3.0700000000000002E-2</v>
      </c>
      <c r="J211" s="12">
        <f t="shared" ca="1" si="34"/>
        <v>118</v>
      </c>
      <c r="K211" s="13">
        <f t="shared" ca="1" si="35"/>
        <v>3.9333333333333331</v>
      </c>
      <c r="L211" s="14">
        <f t="shared" ca="1" si="36"/>
        <v>4441.5326753192721</v>
      </c>
      <c r="M211" s="14">
        <f t="shared" si="37"/>
        <v>83.03540000000001</v>
      </c>
      <c r="N211" s="14">
        <f t="shared" ca="1" si="38"/>
        <v>150.40202002000001</v>
      </c>
      <c r="O211" s="20">
        <f t="shared" ca="1" si="39"/>
        <v>4674.9700953392721</v>
      </c>
      <c r="P211" s="22" t="str">
        <f t="shared" ca="1" si="40"/>
        <v>SIM</v>
      </c>
      <c r="Q211" t="b">
        <f t="shared" ca="1" si="41"/>
        <v>1</v>
      </c>
      <c r="R211" t="str">
        <f t="shared" ca="1" si="42"/>
        <v>SIM</v>
      </c>
      <c r="S211" t="str">
        <f t="shared" ca="1" si="43"/>
        <v>SIM</v>
      </c>
    </row>
    <row r="212" spans="1:19">
      <c r="A212" s="3" t="s">
        <v>537</v>
      </c>
      <c r="B212" s="3" t="s">
        <v>538</v>
      </c>
      <c r="C212" s="28" t="s">
        <v>539</v>
      </c>
      <c r="D212" s="28" t="str">
        <f t="shared" si="33"/>
        <v>07/2026</v>
      </c>
      <c r="E212" s="4">
        <v>1824.18</v>
      </c>
      <c r="F212" s="17">
        <v>2.5499999999999998</v>
      </c>
      <c r="G212" s="5">
        <v>2</v>
      </c>
      <c r="H212" s="6">
        <v>3.73E-2</v>
      </c>
      <c r="J212" s="12">
        <f t="shared" ca="1" si="34"/>
        <v>114</v>
      </c>
      <c r="K212" s="13">
        <f t="shared" ca="1" si="35"/>
        <v>3.8</v>
      </c>
      <c r="L212" s="14">
        <f t="shared" ca="1" si="36"/>
        <v>2007.3505242445408</v>
      </c>
      <c r="M212" s="14">
        <f t="shared" si="37"/>
        <v>36.483600000000003</v>
      </c>
      <c r="N212" s="14">
        <f t="shared" ca="1" si="38"/>
        <v>77.567781960000005</v>
      </c>
      <c r="O212" s="20">
        <f t="shared" ca="1" si="39"/>
        <v>2121.4019062045409</v>
      </c>
      <c r="P212" s="22" t="str">
        <f t="shared" ca="1" si="40"/>
        <v>SIM</v>
      </c>
      <c r="Q212" t="b">
        <f t="shared" ca="1" si="41"/>
        <v>1</v>
      </c>
      <c r="R212" t="str">
        <f t="shared" ca="1" si="42"/>
        <v>SIM</v>
      </c>
      <c r="S212" t="str">
        <f t="shared" ca="1" si="43"/>
        <v>SIM</v>
      </c>
    </row>
    <row r="213" spans="1:19">
      <c r="A213" s="7" t="s">
        <v>540</v>
      </c>
      <c r="B213" s="7" t="s">
        <v>371</v>
      </c>
      <c r="C213" s="29" t="s">
        <v>541</v>
      </c>
      <c r="D213" s="28" t="str">
        <f t="shared" si="33"/>
        <v>03/2025</v>
      </c>
      <c r="E213" s="8">
        <v>1214.6300000000001</v>
      </c>
      <c r="F213" s="18">
        <v>2.95</v>
      </c>
      <c r="G213" s="9">
        <v>2</v>
      </c>
      <c r="H213" s="10">
        <v>4.5600000000000002E-2</v>
      </c>
      <c r="J213" s="12">
        <f t="shared" ca="1" si="34"/>
        <v>586</v>
      </c>
      <c r="K213" s="13">
        <f t="shared" ca="1" si="35"/>
        <v>19.533333333333335</v>
      </c>
      <c r="L213" s="14">
        <f t="shared" ca="1" si="36"/>
        <v>2143.2790826208429</v>
      </c>
      <c r="M213" s="14">
        <f t="shared" si="37"/>
        <v>24.292600000000004</v>
      </c>
      <c r="N213" s="14">
        <f t="shared" ca="1" si="38"/>
        <v>324.56857008000003</v>
      </c>
      <c r="O213" s="20">
        <f t="shared" ca="1" si="39"/>
        <v>2492.1402527008431</v>
      </c>
      <c r="P213" s="22" t="str">
        <f t="shared" ca="1" si="40"/>
        <v>SIM</v>
      </c>
      <c r="Q213" t="b">
        <f t="shared" ca="1" si="41"/>
        <v>1</v>
      </c>
      <c r="R213" t="str">
        <f t="shared" ca="1" si="42"/>
        <v>SIM</v>
      </c>
      <c r="S213" t="str">
        <f t="shared" ca="1" si="43"/>
        <v>SIM</v>
      </c>
    </row>
    <row r="214" spans="1:19">
      <c r="A214" s="3" t="s">
        <v>542</v>
      </c>
      <c r="B214" s="3" t="s">
        <v>543</v>
      </c>
      <c r="C214" s="28" t="s">
        <v>544</v>
      </c>
      <c r="D214" s="28" t="str">
        <f t="shared" si="33"/>
        <v>09/2026</v>
      </c>
      <c r="E214" s="4">
        <v>2894.02</v>
      </c>
      <c r="F214" s="17">
        <v>2.97</v>
      </c>
      <c r="G214" s="5">
        <v>2</v>
      </c>
      <c r="H214" s="6">
        <v>3.9399999999999998E-2</v>
      </c>
      <c r="J214" s="12">
        <f t="shared" ca="1" si="34"/>
        <v>48</v>
      </c>
      <c r="K214" s="13">
        <f t="shared" ca="1" si="35"/>
        <v>1.6</v>
      </c>
      <c r="L214" s="14">
        <f t="shared" ca="1" si="36"/>
        <v>3032.7643651258804</v>
      </c>
      <c r="M214" s="14">
        <f t="shared" si="37"/>
        <v>57.880400000000002</v>
      </c>
      <c r="N214" s="14">
        <f t="shared" ca="1" si="38"/>
        <v>54.731706239999994</v>
      </c>
      <c r="O214" s="20">
        <f t="shared" ca="1" si="39"/>
        <v>3145.3764713658802</v>
      </c>
      <c r="P214" s="22" t="str">
        <f t="shared" ca="1" si="40"/>
        <v>NÃO</v>
      </c>
      <c r="Q214" t="b">
        <f t="shared" ca="1" si="41"/>
        <v>1</v>
      </c>
      <c r="R214" t="str">
        <f t="shared" ca="1" si="42"/>
        <v>NÃO</v>
      </c>
      <c r="S214" t="str">
        <f t="shared" ca="1" si="43"/>
        <v>NÃO</v>
      </c>
    </row>
    <row r="215" spans="1:19">
      <c r="A215" s="7" t="s">
        <v>545</v>
      </c>
      <c r="B215" s="7" t="s">
        <v>251</v>
      </c>
      <c r="C215" s="29" t="s">
        <v>404</v>
      </c>
      <c r="D215" s="28" t="str">
        <f t="shared" si="33"/>
        <v>05/2025</v>
      </c>
      <c r="E215" s="8">
        <v>1453.09</v>
      </c>
      <c r="F215" s="18">
        <v>2.08</v>
      </c>
      <c r="G215" s="9">
        <v>2</v>
      </c>
      <c r="H215" s="10">
        <v>4.2700000000000002E-2</v>
      </c>
      <c r="J215" s="12">
        <f t="shared" ca="1" si="34"/>
        <v>519</v>
      </c>
      <c r="K215" s="13">
        <f t="shared" ca="1" si="35"/>
        <v>17.3</v>
      </c>
      <c r="L215" s="14">
        <f t="shared" ca="1" si="36"/>
        <v>2074.7508722472899</v>
      </c>
      <c r="M215" s="14">
        <f t="shared" si="37"/>
        <v>29.061799999999998</v>
      </c>
      <c r="N215" s="14">
        <f t="shared" ca="1" si="38"/>
        <v>322.02363416999998</v>
      </c>
      <c r="O215" s="20">
        <f t="shared" ca="1" si="39"/>
        <v>2425.83630641729</v>
      </c>
      <c r="P215" s="22" t="str">
        <f t="shared" ca="1" si="40"/>
        <v>SIM</v>
      </c>
      <c r="Q215" t="b">
        <f t="shared" ca="1" si="41"/>
        <v>1</v>
      </c>
      <c r="R215" t="str">
        <f t="shared" ca="1" si="42"/>
        <v>SIM</v>
      </c>
      <c r="S215" t="str">
        <f t="shared" ca="1" si="43"/>
        <v>SIM</v>
      </c>
    </row>
    <row r="216" spans="1:19">
      <c r="A216" s="3" t="s">
        <v>546</v>
      </c>
      <c r="B216" s="3" t="s">
        <v>95</v>
      </c>
      <c r="C216" s="28" t="s">
        <v>300</v>
      </c>
      <c r="D216" s="28" t="str">
        <f t="shared" si="33"/>
        <v>01/2026</v>
      </c>
      <c r="E216" s="4">
        <v>825.88</v>
      </c>
      <c r="F216" s="17">
        <v>2.67</v>
      </c>
      <c r="G216" s="5">
        <v>2</v>
      </c>
      <c r="H216" s="6">
        <v>4.9700000000000001E-2</v>
      </c>
      <c r="J216" s="12">
        <f t="shared" ca="1" si="34"/>
        <v>283</v>
      </c>
      <c r="K216" s="13">
        <f t="shared" ca="1" si="35"/>
        <v>9.4333333333333336</v>
      </c>
      <c r="L216" s="14">
        <f t="shared" ca="1" si="36"/>
        <v>1058.931540821204</v>
      </c>
      <c r="M216" s="14">
        <f t="shared" si="37"/>
        <v>16.517600000000002</v>
      </c>
      <c r="N216" s="14">
        <f t="shared" ca="1" si="38"/>
        <v>116.16084788000001</v>
      </c>
      <c r="O216" s="20">
        <f t="shared" ca="1" si="39"/>
        <v>1191.6099887012037</v>
      </c>
      <c r="P216" s="22" t="str">
        <f t="shared" ca="1" si="40"/>
        <v>SIM</v>
      </c>
      <c r="Q216" t="b">
        <f t="shared" ca="1" si="41"/>
        <v>1</v>
      </c>
      <c r="R216" t="str">
        <f t="shared" ca="1" si="42"/>
        <v>SIM</v>
      </c>
      <c r="S216" t="str">
        <f t="shared" ca="1" si="43"/>
        <v>SIM</v>
      </c>
    </row>
    <row r="217" spans="1:19">
      <c r="A217" s="7" t="s">
        <v>547</v>
      </c>
      <c r="B217" s="7" t="s">
        <v>548</v>
      </c>
      <c r="C217" s="29" t="s">
        <v>549</v>
      </c>
      <c r="D217" s="28" t="str">
        <f t="shared" si="33"/>
        <v>04/2026</v>
      </c>
      <c r="E217" s="8">
        <v>982.64</v>
      </c>
      <c r="F217" s="18">
        <v>1.54</v>
      </c>
      <c r="G217" s="9">
        <v>2</v>
      </c>
      <c r="H217" s="10">
        <v>3.04E-2</v>
      </c>
      <c r="J217" s="12">
        <f t="shared" ca="1" si="34"/>
        <v>180</v>
      </c>
      <c r="K217" s="13">
        <f t="shared" ca="1" si="35"/>
        <v>6</v>
      </c>
      <c r="L217" s="14">
        <f t="shared" ca="1" si="36"/>
        <v>1077.0041908966732</v>
      </c>
      <c r="M217" s="14">
        <f t="shared" si="37"/>
        <v>19.652799999999999</v>
      </c>
      <c r="N217" s="14">
        <f t="shared" ca="1" si="38"/>
        <v>53.770060800000003</v>
      </c>
      <c r="O217" s="20">
        <f t="shared" ca="1" si="39"/>
        <v>1150.4270516966733</v>
      </c>
      <c r="P217" s="22" t="str">
        <f t="shared" ca="1" si="40"/>
        <v>SIM</v>
      </c>
      <c r="Q217" t="b">
        <f t="shared" ca="1" si="41"/>
        <v>1</v>
      </c>
      <c r="R217" t="str">
        <f t="shared" ca="1" si="42"/>
        <v>SIM</v>
      </c>
      <c r="S217" t="str">
        <f t="shared" ca="1" si="43"/>
        <v>SIM</v>
      </c>
    </row>
    <row r="218" spans="1:19">
      <c r="A218" s="3" t="s">
        <v>550</v>
      </c>
      <c r="B218" s="3" t="s">
        <v>404</v>
      </c>
      <c r="C218" s="28" t="s">
        <v>551</v>
      </c>
      <c r="D218" s="28" t="str">
        <f t="shared" si="33"/>
        <v>06/2025</v>
      </c>
      <c r="E218" s="4">
        <v>4103.01</v>
      </c>
      <c r="F218" s="17">
        <v>2</v>
      </c>
      <c r="G218" s="5">
        <v>2</v>
      </c>
      <c r="H218" s="6">
        <v>3.1300000000000001E-2</v>
      </c>
      <c r="J218" s="12">
        <f t="shared" ca="1" si="34"/>
        <v>484</v>
      </c>
      <c r="K218" s="13">
        <f t="shared" ca="1" si="35"/>
        <v>16.133333333333333</v>
      </c>
      <c r="L218" s="14">
        <f t="shared" ca="1" si="36"/>
        <v>5647.4450409611691</v>
      </c>
      <c r="M218" s="14">
        <f t="shared" si="37"/>
        <v>82.060200000000009</v>
      </c>
      <c r="N218" s="14">
        <f t="shared" ca="1" si="38"/>
        <v>621.57319092</v>
      </c>
      <c r="O218" s="20">
        <f t="shared" ca="1" si="39"/>
        <v>6351.0784318811693</v>
      </c>
      <c r="P218" s="22" t="str">
        <f t="shared" ca="1" si="40"/>
        <v>SIM</v>
      </c>
      <c r="Q218" t="b">
        <f t="shared" ca="1" si="41"/>
        <v>1</v>
      </c>
      <c r="R218" t="str">
        <f t="shared" ca="1" si="42"/>
        <v>SIM</v>
      </c>
      <c r="S218" t="str">
        <f t="shared" ca="1" si="43"/>
        <v>SIM</v>
      </c>
    </row>
    <row r="219" spans="1:19">
      <c r="A219" s="7" t="s">
        <v>552</v>
      </c>
      <c r="B219" s="7" t="s">
        <v>553</v>
      </c>
      <c r="C219" s="29" t="s">
        <v>554</v>
      </c>
      <c r="D219" s="28" t="str">
        <f t="shared" si="33"/>
        <v>06/2025</v>
      </c>
      <c r="E219" s="8">
        <v>4174.25</v>
      </c>
      <c r="F219" s="18">
        <v>1.41</v>
      </c>
      <c r="G219" s="9">
        <v>2</v>
      </c>
      <c r="H219" s="10">
        <v>3.0200000000000001E-2</v>
      </c>
      <c r="J219" s="12">
        <f t="shared" ca="1" si="34"/>
        <v>492</v>
      </c>
      <c r="K219" s="13">
        <f t="shared" ca="1" si="35"/>
        <v>16.399999999999999</v>
      </c>
      <c r="L219" s="14">
        <f t="shared" ca="1" si="36"/>
        <v>5251.7409096520132</v>
      </c>
      <c r="M219" s="14">
        <f t="shared" si="37"/>
        <v>83.484999999999999</v>
      </c>
      <c r="N219" s="14">
        <f t="shared" ca="1" si="38"/>
        <v>620.22676200000001</v>
      </c>
      <c r="O219" s="20">
        <f t="shared" ca="1" si="39"/>
        <v>5955.4526716520131</v>
      </c>
      <c r="P219" s="22" t="str">
        <f t="shared" ca="1" si="40"/>
        <v>SIM</v>
      </c>
      <c r="Q219" t="b">
        <f t="shared" ca="1" si="41"/>
        <v>1</v>
      </c>
      <c r="R219" t="str">
        <f t="shared" ca="1" si="42"/>
        <v>SIM</v>
      </c>
      <c r="S219" t="str">
        <f t="shared" ca="1" si="43"/>
        <v>SIM</v>
      </c>
    </row>
    <row r="220" spans="1:19">
      <c r="A220" s="3" t="s">
        <v>555</v>
      </c>
      <c r="B220" s="3" t="s">
        <v>556</v>
      </c>
      <c r="C220" s="28" t="s">
        <v>524</v>
      </c>
      <c r="D220" s="28" t="str">
        <f t="shared" si="33"/>
        <v>03/2025</v>
      </c>
      <c r="E220" s="4">
        <v>1442.52</v>
      </c>
      <c r="F220" s="17">
        <v>2.46</v>
      </c>
      <c r="G220" s="5">
        <v>2</v>
      </c>
      <c r="H220" s="6">
        <v>3.5000000000000003E-2</v>
      </c>
      <c r="J220" s="12">
        <f t="shared" ca="1" si="34"/>
        <v>599</v>
      </c>
      <c r="K220" s="13">
        <f t="shared" ca="1" si="35"/>
        <v>19.966666666666665</v>
      </c>
      <c r="L220" s="14">
        <f t="shared" ca="1" si="36"/>
        <v>2343.45739504937</v>
      </c>
      <c r="M220" s="14">
        <f t="shared" si="37"/>
        <v>28.8504</v>
      </c>
      <c r="N220" s="14">
        <f t="shared" ca="1" si="38"/>
        <v>302.42431800000003</v>
      </c>
      <c r="O220" s="20">
        <f t="shared" ca="1" si="39"/>
        <v>2674.7321130493697</v>
      </c>
      <c r="P220" s="22" t="str">
        <f t="shared" ca="1" si="40"/>
        <v>SIM</v>
      </c>
      <c r="Q220" t="b">
        <f t="shared" ca="1" si="41"/>
        <v>1</v>
      </c>
      <c r="R220" t="str">
        <f t="shared" ca="1" si="42"/>
        <v>SIM</v>
      </c>
      <c r="S220" t="str">
        <f t="shared" ca="1" si="43"/>
        <v>SIM</v>
      </c>
    </row>
    <row r="221" spans="1:19">
      <c r="A221" s="7" t="s">
        <v>557</v>
      </c>
      <c r="B221" s="7" t="s">
        <v>558</v>
      </c>
      <c r="C221" s="29" t="s">
        <v>229</v>
      </c>
      <c r="D221" s="28" t="str">
        <f t="shared" si="33"/>
        <v>04/2026</v>
      </c>
      <c r="E221" s="8">
        <v>4584.8999999999996</v>
      </c>
      <c r="F221" s="18">
        <v>1.84</v>
      </c>
      <c r="G221" s="9">
        <v>2</v>
      </c>
      <c r="H221" s="10">
        <v>3.7699999999999997E-2</v>
      </c>
      <c r="J221" s="12">
        <f t="shared" ca="1" si="34"/>
        <v>186</v>
      </c>
      <c r="K221" s="13">
        <f t="shared" ca="1" si="35"/>
        <v>6.2</v>
      </c>
      <c r="L221" s="14">
        <f t="shared" ca="1" si="36"/>
        <v>5133.6220282435688</v>
      </c>
      <c r="M221" s="14">
        <f t="shared" si="37"/>
        <v>91.697999999999993</v>
      </c>
      <c r="N221" s="14">
        <f t="shared" ca="1" si="38"/>
        <v>321.50235779999997</v>
      </c>
      <c r="O221" s="20">
        <f t="shared" ca="1" si="39"/>
        <v>5546.8223860435692</v>
      </c>
      <c r="P221" s="22" t="str">
        <f t="shared" ca="1" si="40"/>
        <v>SIM</v>
      </c>
      <c r="Q221" t="b">
        <f t="shared" ca="1" si="41"/>
        <v>1</v>
      </c>
      <c r="R221" t="str">
        <f t="shared" ca="1" si="42"/>
        <v>SIM</v>
      </c>
      <c r="S221" t="str">
        <f t="shared" ca="1" si="43"/>
        <v>SIM</v>
      </c>
    </row>
    <row r="222" spans="1:19">
      <c r="A222" s="3" t="s">
        <v>559</v>
      </c>
      <c r="B222" s="3" t="s">
        <v>560</v>
      </c>
      <c r="C222" s="28" t="s">
        <v>561</v>
      </c>
      <c r="D222" s="28" t="str">
        <f t="shared" si="33"/>
        <v>10/2026</v>
      </c>
      <c r="E222" s="4">
        <v>377.78</v>
      </c>
      <c r="F222" s="17">
        <v>1.33</v>
      </c>
      <c r="G222" s="5">
        <v>2</v>
      </c>
      <c r="H222" s="6">
        <v>4.48E-2</v>
      </c>
      <c r="J222" s="12">
        <f t="shared" ca="1" si="34"/>
        <v>3</v>
      </c>
      <c r="K222" s="13">
        <f t="shared" ca="1" si="35"/>
        <v>0.1</v>
      </c>
      <c r="L222" s="14">
        <f t="shared" ca="1" si="36"/>
        <v>378.27946534077842</v>
      </c>
      <c r="M222" s="14">
        <f t="shared" si="37"/>
        <v>7.5555999999999992</v>
      </c>
      <c r="N222" s="14">
        <f t="shared" ca="1" si="38"/>
        <v>0.50773631999999991</v>
      </c>
      <c r="O222" s="20">
        <f t="shared" ca="1" si="39"/>
        <v>386.34280166077843</v>
      </c>
      <c r="P222" s="22" t="str">
        <f t="shared" ca="1" si="40"/>
        <v>NÃO</v>
      </c>
      <c r="Q222" t="b">
        <f t="shared" ca="1" si="41"/>
        <v>1</v>
      </c>
      <c r="R222" t="str">
        <f t="shared" ca="1" si="42"/>
        <v>NÃO</v>
      </c>
      <c r="S222" t="str">
        <f t="shared" ca="1" si="43"/>
        <v>NÃO</v>
      </c>
    </row>
    <row r="223" spans="1:19">
      <c r="A223" s="7" t="s">
        <v>562</v>
      </c>
      <c r="B223" s="7" t="s">
        <v>563</v>
      </c>
      <c r="C223" s="29" t="s">
        <v>564</v>
      </c>
      <c r="D223" s="28" t="str">
        <f t="shared" si="33"/>
        <v>11/2025</v>
      </c>
      <c r="E223" s="8">
        <v>1339.94</v>
      </c>
      <c r="F223" s="18">
        <v>1.78</v>
      </c>
      <c r="G223" s="9">
        <v>2</v>
      </c>
      <c r="H223" s="10">
        <v>3.5799999999999998E-2</v>
      </c>
      <c r="J223" s="12">
        <f t="shared" ca="1" si="34"/>
        <v>340</v>
      </c>
      <c r="K223" s="13">
        <f t="shared" ca="1" si="35"/>
        <v>11.333333333333334</v>
      </c>
      <c r="L223" s="14">
        <f t="shared" ca="1" si="36"/>
        <v>1636.5392009252578</v>
      </c>
      <c r="M223" s="14">
        <f t="shared" si="37"/>
        <v>26.7988</v>
      </c>
      <c r="N223" s="14">
        <f t="shared" ca="1" si="38"/>
        <v>163.09749680000002</v>
      </c>
      <c r="O223" s="20">
        <f t="shared" ca="1" si="39"/>
        <v>1826.4354977252578</v>
      </c>
      <c r="P223" s="22" t="str">
        <f t="shared" ca="1" si="40"/>
        <v>SIM</v>
      </c>
      <c r="Q223" t="b">
        <f t="shared" ca="1" si="41"/>
        <v>1</v>
      </c>
      <c r="R223" t="str">
        <f t="shared" ca="1" si="42"/>
        <v>SIM</v>
      </c>
      <c r="S223" t="str">
        <f t="shared" ca="1" si="43"/>
        <v>SIM</v>
      </c>
    </row>
    <row r="224" spans="1:19">
      <c r="A224" s="3" t="s">
        <v>565</v>
      </c>
      <c r="B224" s="3" t="s">
        <v>566</v>
      </c>
      <c r="C224" s="28" t="s">
        <v>60</v>
      </c>
      <c r="D224" s="28" t="str">
        <f t="shared" si="33"/>
        <v>06/2026</v>
      </c>
      <c r="E224" s="4">
        <v>3637.37</v>
      </c>
      <c r="F224" s="17">
        <v>1.59</v>
      </c>
      <c r="G224" s="5">
        <v>2</v>
      </c>
      <c r="H224" s="6">
        <v>4.1300000000000003E-2</v>
      </c>
      <c r="J224" s="12">
        <f t="shared" ca="1" si="34"/>
        <v>135</v>
      </c>
      <c r="K224" s="13">
        <f t="shared" ca="1" si="35"/>
        <v>4.5</v>
      </c>
      <c r="L224" s="14">
        <f t="shared" ca="1" si="36"/>
        <v>3904.9619098583794</v>
      </c>
      <c r="M224" s="14">
        <f t="shared" si="37"/>
        <v>72.747399999999999</v>
      </c>
      <c r="N224" s="14">
        <f t="shared" ca="1" si="38"/>
        <v>202.80156435000001</v>
      </c>
      <c r="O224" s="20">
        <f t="shared" ca="1" si="39"/>
        <v>4180.5108742083794</v>
      </c>
      <c r="P224" s="22" t="str">
        <f t="shared" ca="1" si="40"/>
        <v>SIM</v>
      </c>
      <c r="Q224" t="b">
        <f t="shared" ca="1" si="41"/>
        <v>1</v>
      </c>
      <c r="R224" t="str">
        <f t="shared" ca="1" si="42"/>
        <v>SIM</v>
      </c>
      <c r="S224" t="str">
        <f t="shared" ca="1" si="43"/>
        <v>SIM</v>
      </c>
    </row>
    <row r="225" spans="1:19">
      <c r="A225" s="7" t="s">
        <v>567</v>
      </c>
      <c r="B225" s="7" t="s">
        <v>568</v>
      </c>
      <c r="C225" s="29" t="s">
        <v>569</v>
      </c>
      <c r="D225" s="28" t="str">
        <f t="shared" si="33"/>
        <v>05/2025</v>
      </c>
      <c r="E225" s="8">
        <v>3368.81</v>
      </c>
      <c r="F225" s="18">
        <v>2.87</v>
      </c>
      <c r="G225" s="9">
        <v>2</v>
      </c>
      <c r="H225" s="10">
        <v>4.4699999999999997E-2</v>
      </c>
      <c r="J225" s="12">
        <f t="shared" ca="1" si="34"/>
        <v>530</v>
      </c>
      <c r="K225" s="13">
        <f t="shared" ca="1" si="35"/>
        <v>17.666666666666668</v>
      </c>
      <c r="L225" s="14">
        <f t="shared" ca="1" si="36"/>
        <v>5553.6382564060659</v>
      </c>
      <c r="M225" s="14">
        <f t="shared" si="37"/>
        <v>67.376199999999997</v>
      </c>
      <c r="N225" s="14">
        <f t="shared" ca="1" si="38"/>
        <v>798.10477709999998</v>
      </c>
      <c r="O225" s="20">
        <f t="shared" ca="1" si="39"/>
        <v>6419.1192335060659</v>
      </c>
      <c r="P225" s="22" t="str">
        <f t="shared" ca="1" si="40"/>
        <v>SIM</v>
      </c>
      <c r="Q225" t="b">
        <f t="shared" ca="1" si="41"/>
        <v>1</v>
      </c>
      <c r="R225" t="str">
        <f t="shared" ca="1" si="42"/>
        <v>SIM</v>
      </c>
      <c r="S225" t="str">
        <f t="shared" ca="1" si="43"/>
        <v>SIM</v>
      </c>
    </row>
    <row r="226" spans="1:19">
      <c r="A226" s="3" t="s">
        <v>570</v>
      </c>
      <c r="B226" s="3" t="s">
        <v>458</v>
      </c>
      <c r="C226" s="28" t="s">
        <v>571</v>
      </c>
      <c r="D226" s="28" t="str">
        <f t="shared" si="33"/>
        <v>11/2025</v>
      </c>
      <c r="E226" s="4">
        <v>301.24</v>
      </c>
      <c r="F226" s="17">
        <v>1.52</v>
      </c>
      <c r="G226" s="5">
        <v>2</v>
      </c>
      <c r="H226" s="6">
        <v>4.19E-2</v>
      </c>
      <c r="J226" s="12">
        <f t="shared" ca="1" si="34"/>
        <v>336</v>
      </c>
      <c r="K226" s="13">
        <f t="shared" ca="1" si="35"/>
        <v>11.2</v>
      </c>
      <c r="L226" s="14">
        <f t="shared" ca="1" si="36"/>
        <v>356.68977568003072</v>
      </c>
      <c r="M226" s="14">
        <f t="shared" si="37"/>
        <v>6.0247999999999999</v>
      </c>
      <c r="N226" s="14">
        <f t="shared" ca="1" si="38"/>
        <v>42.409772160000003</v>
      </c>
      <c r="O226" s="20">
        <f t="shared" ca="1" si="39"/>
        <v>405.12434784003074</v>
      </c>
      <c r="P226" s="22" t="str">
        <f t="shared" ca="1" si="40"/>
        <v>SIM</v>
      </c>
      <c r="Q226" t="b">
        <f t="shared" ca="1" si="41"/>
        <v>1</v>
      </c>
      <c r="R226" t="str">
        <f t="shared" ca="1" si="42"/>
        <v>SIM</v>
      </c>
      <c r="S226" t="str">
        <f t="shared" ca="1" si="43"/>
        <v>SIM</v>
      </c>
    </row>
    <row r="227" spans="1:19">
      <c r="A227" s="7" t="s">
        <v>572</v>
      </c>
      <c r="B227" s="7" t="s">
        <v>573</v>
      </c>
      <c r="C227" s="29" t="s">
        <v>574</v>
      </c>
      <c r="D227" s="28" t="str">
        <f t="shared" si="33"/>
        <v>06/2026</v>
      </c>
      <c r="E227" s="8">
        <v>2557.38</v>
      </c>
      <c r="F227" s="18">
        <v>2.19</v>
      </c>
      <c r="G227" s="9">
        <v>2</v>
      </c>
      <c r="H227" s="10">
        <v>3.6700000000000003E-2</v>
      </c>
      <c r="J227" s="12">
        <f t="shared" ca="1" si="34"/>
        <v>143</v>
      </c>
      <c r="K227" s="13">
        <f t="shared" ca="1" si="35"/>
        <v>4.7666666666666666</v>
      </c>
      <c r="L227" s="14">
        <f t="shared" ca="1" si="36"/>
        <v>2835.5804084953079</v>
      </c>
      <c r="M227" s="14">
        <f t="shared" si="37"/>
        <v>51.147600000000004</v>
      </c>
      <c r="N227" s="14">
        <f t="shared" ca="1" si="38"/>
        <v>134.21385978000001</v>
      </c>
      <c r="O227" s="20">
        <f t="shared" ca="1" si="39"/>
        <v>3020.9418682753076</v>
      </c>
      <c r="P227" s="22" t="str">
        <f t="shared" ca="1" si="40"/>
        <v>SIM</v>
      </c>
      <c r="Q227" t="b">
        <f t="shared" ca="1" si="41"/>
        <v>1</v>
      </c>
      <c r="R227" t="str">
        <f t="shared" ca="1" si="42"/>
        <v>SIM</v>
      </c>
      <c r="S227" t="str">
        <f t="shared" ca="1" si="43"/>
        <v>SIM</v>
      </c>
    </row>
    <row r="228" spans="1:19">
      <c r="A228" s="3" t="s">
        <v>575</v>
      </c>
      <c r="B228" s="3" t="s">
        <v>576</v>
      </c>
      <c r="C228" s="28" t="s">
        <v>577</v>
      </c>
      <c r="D228" s="28" t="str">
        <f t="shared" si="33"/>
        <v>06/2025</v>
      </c>
      <c r="E228" s="4">
        <v>667</v>
      </c>
      <c r="F228" s="17">
        <v>1.1499999999999999</v>
      </c>
      <c r="G228" s="5">
        <v>2</v>
      </c>
      <c r="H228" s="6">
        <v>4.4600000000000001E-2</v>
      </c>
      <c r="J228" s="12">
        <f t="shared" ca="1" si="34"/>
        <v>495</v>
      </c>
      <c r="K228" s="13">
        <f t="shared" ca="1" si="35"/>
        <v>16.5</v>
      </c>
      <c r="L228" s="14">
        <f t="shared" ca="1" si="36"/>
        <v>805.49522671944374</v>
      </c>
      <c r="M228" s="14">
        <f t="shared" si="37"/>
        <v>13.34</v>
      </c>
      <c r="N228" s="14">
        <f t="shared" ca="1" si="38"/>
        <v>147.25359</v>
      </c>
      <c r="O228" s="20">
        <f t="shared" ca="1" si="39"/>
        <v>966.0888167194438</v>
      </c>
      <c r="P228" s="22" t="str">
        <f t="shared" ca="1" si="40"/>
        <v>SIM</v>
      </c>
      <c r="Q228" t="b">
        <f t="shared" ca="1" si="41"/>
        <v>1</v>
      </c>
      <c r="R228" t="str">
        <f t="shared" ca="1" si="42"/>
        <v>SIM</v>
      </c>
      <c r="S228" t="str">
        <f t="shared" ca="1" si="43"/>
        <v>SIM</v>
      </c>
    </row>
    <row r="229" spans="1:19">
      <c r="A229" s="7" t="s">
        <v>578</v>
      </c>
      <c r="B229" s="7" t="s">
        <v>579</v>
      </c>
      <c r="C229" s="29" t="s">
        <v>99</v>
      </c>
      <c r="D229" s="28" t="str">
        <f t="shared" si="33"/>
        <v>09/2025</v>
      </c>
      <c r="E229" s="8">
        <v>3488.75</v>
      </c>
      <c r="F229" s="18">
        <v>1.87</v>
      </c>
      <c r="G229" s="9">
        <v>2</v>
      </c>
      <c r="H229" s="10">
        <v>3.49E-2</v>
      </c>
      <c r="J229" s="12">
        <f t="shared" ca="1" si="34"/>
        <v>405</v>
      </c>
      <c r="K229" s="13">
        <f t="shared" ca="1" si="35"/>
        <v>13.5</v>
      </c>
      <c r="L229" s="14">
        <f t="shared" ca="1" si="36"/>
        <v>4480.1750447652312</v>
      </c>
      <c r="M229" s="14">
        <f t="shared" si="37"/>
        <v>69.775000000000006</v>
      </c>
      <c r="N229" s="14">
        <f t="shared" ca="1" si="38"/>
        <v>493.11736874999997</v>
      </c>
      <c r="O229" s="20">
        <f t="shared" ca="1" si="39"/>
        <v>5043.0674135152312</v>
      </c>
      <c r="P229" s="22" t="str">
        <f t="shared" ca="1" si="40"/>
        <v>SIM</v>
      </c>
      <c r="Q229" t="b">
        <f t="shared" ca="1" si="41"/>
        <v>1</v>
      </c>
      <c r="R229" t="str">
        <f t="shared" ca="1" si="42"/>
        <v>SIM</v>
      </c>
      <c r="S229" t="str">
        <f t="shared" ca="1" si="43"/>
        <v>SIM</v>
      </c>
    </row>
    <row r="230" spans="1:19">
      <c r="A230" s="3" t="s">
        <v>580</v>
      </c>
      <c r="B230" s="3" t="s">
        <v>581</v>
      </c>
      <c r="C230" s="28" t="s">
        <v>148</v>
      </c>
      <c r="D230" s="28" t="str">
        <f t="shared" si="33"/>
        <v>06/2025</v>
      </c>
      <c r="E230" s="4">
        <v>4027.17</v>
      </c>
      <c r="F230" s="17">
        <v>2.39</v>
      </c>
      <c r="G230" s="5">
        <v>2</v>
      </c>
      <c r="H230" s="6">
        <v>3.5400000000000001E-2</v>
      </c>
      <c r="J230" s="12">
        <f t="shared" ca="1" si="34"/>
        <v>502</v>
      </c>
      <c r="K230" s="13">
        <f t="shared" ca="1" si="35"/>
        <v>16.733333333333334</v>
      </c>
      <c r="L230" s="14">
        <f t="shared" ca="1" si="36"/>
        <v>5979.1968148497408</v>
      </c>
      <c r="M230" s="14">
        <f t="shared" si="37"/>
        <v>80.543400000000005</v>
      </c>
      <c r="N230" s="14">
        <f t="shared" ca="1" si="38"/>
        <v>715.66032636</v>
      </c>
      <c r="O230" s="20">
        <f t="shared" ca="1" si="39"/>
        <v>6775.4005412097404</v>
      </c>
      <c r="P230" s="22" t="str">
        <f t="shared" ca="1" si="40"/>
        <v>SIM</v>
      </c>
      <c r="Q230" t="b">
        <f t="shared" ca="1" si="41"/>
        <v>1</v>
      </c>
      <c r="R230" t="str">
        <f t="shared" ca="1" si="42"/>
        <v>SIM</v>
      </c>
      <c r="S230" t="str">
        <f t="shared" ca="1" si="43"/>
        <v>SIM</v>
      </c>
    </row>
    <row r="231" spans="1:19">
      <c r="A231" s="7" t="s">
        <v>582</v>
      </c>
      <c r="B231" s="7" t="s">
        <v>583</v>
      </c>
      <c r="C231" s="29" t="s">
        <v>584</v>
      </c>
      <c r="D231" s="28" t="str">
        <f t="shared" si="33"/>
        <v>07/2026</v>
      </c>
      <c r="E231" s="8">
        <v>1675.79</v>
      </c>
      <c r="F231" s="18">
        <v>2.61</v>
      </c>
      <c r="G231" s="9">
        <v>2</v>
      </c>
      <c r="H231" s="10">
        <v>4.9200000000000001E-2</v>
      </c>
      <c r="J231" s="12">
        <f t="shared" ca="1" si="34"/>
        <v>108</v>
      </c>
      <c r="K231" s="13">
        <f t="shared" ca="1" si="35"/>
        <v>3.6</v>
      </c>
      <c r="L231" s="14">
        <f t="shared" ca="1" si="36"/>
        <v>1838.6644106365418</v>
      </c>
      <c r="M231" s="14">
        <f t="shared" si="37"/>
        <v>33.515799999999999</v>
      </c>
      <c r="N231" s="14">
        <f t="shared" ca="1" si="38"/>
        <v>89.044777440000004</v>
      </c>
      <c r="O231" s="20">
        <f t="shared" ca="1" si="39"/>
        <v>1961.2249880765416</v>
      </c>
      <c r="P231" s="22" t="str">
        <f t="shared" ca="1" si="40"/>
        <v>SIM</v>
      </c>
      <c r="Q231" t="b">
        <f t="shared" ca="1" si="41"/>
        <v>1</v>
      </c>
      <c r="R231" t="str">
        <f t="shared" ca="1" si="42"/>
        <v>SIM</v>
      </c>
      <c r="S231" t="str">
        <f t="shared" ca="1" si="43"/>
        <v>SIM</v>
      </c>
    </row>
    <row r="232" spans="1:19">
      <c r="A232" s="3" t="s">
        <v>585</v>
      </c>
      <c r="B232" s="3" t="s">
        <v>586</v>
      </c>
      <c r="C232" s="28" t="s">
        <v>322</v>
      </c>
      <c r="D232" s="28" t="str">
        <f t="shared" si="33"/>
        <v>02/2025</v>
      </c>
      <c r="E232" s="4">
        <v>3499.22</v>
      </c>
      <c r="F232" s="17">
        <v>2.04</v>
      </c>
      <c r="G232" s="5">
        <v>2</v>
      </c>
      <c r="H232" s="6">
        <v>3.1699999999999999E-2</v>
      </c>
      <c r="J232" s="12">
        <f t="shared" ca="1" si="34"/>
        <v>624</v>
      </c>
      <c r="K232" s="13">
        <f t="shared" ca="1" si="35"/>
        <v>20.8</v>
      </c>
      <c r="L232" s="14">
        <f t="shared" ca="1" si="36"/>
        <v>5325.9441340853491</v>
      </c>
      <c r="M232" s="14">
        <f t="shared" si="37"/>
        <v>69.984399999999994</v>
      </c>
      <c r="N232" s="14">
        <f t="shared" ca="1" si="38"/>
        <v>692.17370975999995</v>
      </c>
      <c r="O232" s="20">
        <f t="shared" ca="1" si="39"/>
        <v>6088.1022438453492</v>
      </c>
      <c r="P232" s="22" t="str">
        <f t="shared" ca="1" si="40"/>
        <v>SIM</v>
      </c>
      <c r="Q232" t="b">
        <f t="shared" ca="1" si="41"/>
        <v>1</v>
      </c>
      <c r="R232" t="str">
        <f t="shared" ca="1" si="42"/>
        <v>SIM</v>
      </c>
      <c r="S232" t="str">
        <f t="shared" ca="1" si="43"/>
        <v>SIM</v>
      </c>
    </row>
    <row r="233" spans="1:19">
      <c r="A233" s="7" t="s">
        <v>587</v>
      </c>
      <c r="B233" s="7" t="s">
        <v>244</v>
      </c>
      <c r="C233" s="29" t="s">
        <v>502</v>
      </c>
      <c r="D233" s="28" t="str">
        <f t="shared" si="33"/>
        <v>09/2026</v>
      </c>
      <c r="E233" s="8">
        <v>3828.2</v>
      </c>
      <c r="F233" s="18">
        <v>2.2799999999999998</v>
      </c>
      <c r="G233" s="9">
        <v>2</v>
      </c>
      <c r="H233" s="10">
        <v>4.5199999999999997E-2</v>
      </c>
      <c r="J233" s="12">
        <f t="shared" ca="1" si="34"/>
        <v>35</v>
      </c>
      <c r="K233" s="13">
        <f t="shared" ca="1" si="35"/>
        <v>1.1666666666666667</v>
      </c>
      <c r="L233" s="14">
        <f t="shared" ca="1" si="36"/>
        <v>3930.2223845141225</v>
      </c>
      <c r="M233" s="14">
        <f t="shared" si="37"/>
        <v>76.563999999999993</v>
      </c>
      <c r="N233" s="14">
        <f t="shared" ca="1" si="38"/>
        <v>60.56212399999999</v>
      </c>
      <c r="O233" s="20">
        <f t="shared" ca="1" si="39"/>
        <v>4067.3485085141224</v>
      </c>
      <c r="P233" s="22" t="str">
        <f t="shared" ca="1" si="40"/>
        <v>NÃO</v>
      </c>
      <c r="Q233" t="b">
        <f t="shared" ca="1" si="41"/>
        <v>1</v>
      </c>
      <c r="R233" t="str">
        <f t="shared" ca="1" si="42"/>
        <v>NÃO</v>
      </c>
      <c r="S233" t="str">
        <f t="shared" ca="1" si="43"/>
        <v>NÃO</v>
      </c>
    </row>
    <row r="234" spans="1:19">
      <c r="A234" s="3" t="s">
        <v>588</v>
      </c>
      <c r="B234" s="3" t="s">
        <v>549</v>
      </c>
      <c r="C234" s="28" t="s">
        <v>56</v>
      </c>
      <c r="D234" s="28" t="str">
        <f t="shared" si="33"/>
        <v>06/2026</v>
      </c>
      <c r="E234" s="4">
        <v>3240.57</v>
      </c>
      <c r="F234" s="17">
        <v>2.96</v>
      </c>
      <c r="G234" s="5">
        <v>2</v>
      </c>
      <c r="H234" s="6">
        <v>4.8099999999999997E-2</v>
      </c>
      <c r="J234" s="12">
        <f t="shared" ca="1" si="34"/>
        <v>144</v>
      </c>
      <c r="K234" s="13">
        <f t="shared" ca="1" si="35"/>
        <v>4.8</v>
      </c>
      <c r="L234" s="14">
        <f t="shared" ca="1" si="36"/>
        <v>3727.6091563633586</v>
      </c>
      <c r="M234" s="14">
        <f t="shared" si="37"/>
        <v>64.811400000000006</v>
      </c>
      <c r="N234" s="14">
        <f t="shared" ca="1" si="38"/>
        <v>224.45484048</v>
      </c>
      <c r="O234" s="20">
        <f t="shared" ca="1" si="39"/>
        <v>4016.8753968433584</v>
      </c>
      <c r="P234" s="22" t="str">
        <f t="shared" ca="1" si="40"/>
        <v>SIM</v>
      </c>
      <c r="Q234" t="b">
        <f t="shared" ca="1" si="41"/>
        <v>1</v>
      </c>
      <c r="R234" t="str">
        <f t="shared" ca="1" si="42"/>
        <v>SIM</v>
      </c>
      <c r="S234" t="str">
        <f t="shared" ca="1" si="43"/>
        <v>SIM</v>
      </c>
    </row>
    <row r="235" spans="1:19">
      <c r="A235" s="7" t="s">
        <v>589</v>
      </c>
      <c r="B235" s="7" t="s">
        <v>104</v>
      </c>
      <c r="C235" s="29" t="s">
        <v>590</v>
      </c>
      <c r="D235" s="28" t="str">
        <f t="shared" si="33"/>
        <v>10/2025</v>
      </c>
      <c r="E235" s="8">
        <v>3511.9</v>
      </c>
      <c r="F235" s="18">
        <v>1.1000000000000001</v>
      </c>
      <c r="G235" s="9">
        <v>2</v>
      </c>
      <c r="H235" s="10">
        <v>4.3400000000000001E-2</v>
      </c>
      <c r="J235" s="12">
        <f t="shared" ca="1" si="34"/>
        <v>368</v>
      </c>
      <c r="K235" s="13">
        <f t="shared" ca="1" si="35"/>
        <v>12.266666666666667</v>
      </c>
      <c r="L235" s="14">
        <f t="shared" ca="1" si="36"/>
        <v>4016.2707557083936</v>
      </c>
      <c r="M235" s="14">
        <f t="shared" si="37"/>
        <v>70.238</v>
      </c>
      <c r="N235" s="14">
        <f t="shared" ca="1" si="38"/>
        <v>560.89257280000004</v>
      </c>
      <c r="O235" s="20">
        <f t="shared" ca="1" si="39"/>
        <v>4647.4013285083938</v>
      </c>
      <c r="P235" s="22" t="str">
        <f t="shared" ca="1" si="40"/>
        <v>SIM</v>
      </c>
      <c r="Q235" t="b">
        <f t="shared" ca="1" si="41"/>
        <v>1</v>
      </c>
      <c r="R235" t="str">
        <f t="shared" ca="1" si="42"/>
        <v>SIM</v>
      </c>
      <c r="S235" t="str">
        <f t="shared" ca="1" si="43"/>
        <v>SIM</v>
      </c>
    </row>
    <row r="236" spans="1:19">
      <c r="A236" s="3" t="s">
        <v>591</v>
      </c>
      <c r="B236" s="3" t="s">
        <v>592</v>
      </c>
      <c r="C236" s="28" t="s">
        <v>105</v>
      </c>
      <c r="D236" s="28" t="str">
        <f t="shared" si="33"/>
        <v>11/2025</v>
      </c>
      <c r="E236" s="4">
        <v>3003.08</v>
      </c>
      <c r="F236" s="17">
        <v>3</v>
      </c>
      <c r="G236" s="5">
        <v>2</v>
      </c>
      <c r="H236" s="6">
        <v>4.1099999999999998E-2</v>
      </c>
      <c r="J236" s="12">
        <f t="shared" ca="1" si="34"/>
        <v>353</v>
      </c>
      <c r="K236" s="13">
        <f t="shared" ca="1" si="35"/>
        <v>11.766666666666667</v>
      </c>
      <c r="L236" s="14">
        <f t="shared" ca="1" si="36"/>
        <v>4252.2446723725061</v>
      </c>
      <c r="M236" s="14">
        <f t="shared" si="37"/>
        <v>60.061599999999999</v>
      </c>
      <c r="N236" s="14">
        <f t="shared" ca="1" si="38"/>
        <v>435.69585563999999</v>
      </c>
      <c r="O236" s="20">
        <f t="shared" ca="1" si="39"/>
        <v>4748.0021280125056</v>
      </c>
      <c r="P236" s="22" t="str">
        <f t="shared" ca="1" si="40"/>
        <v>SIM</v>
      </c>
      <c r="Q236" t="b">
        <f t="shared" ca="1" si="41"/>
        <v>1</v>
      </c>
      <c r="R236" t="str">
        <f t="shared" ca="1" si="42"/>
        <v>SIM</v>
      </c>
      <c r="S236" t="str">
        <f t="shared" ca="1" si="43"/>
        <v>SIM</v>
      </c>
    </row>
    <row r="237" spans="1:19">
      <c r="A237" s="7" t="s">
        <v>593</v>
      </c>
      <c r="B237" s="7" t="s">
        <v>594</v>
      </c>
      <c r="C237" s="29" t="s">
        <v>595</v>
      </c>
      <c r="D237" s="28" t="str">
        <f t="shared" si="33"/>
        <v>05/2025</v>
      </c>
      <c r="E237" s="8">
        <v>1667.35</v>
      </c>
      <c r="F237" s="18">
        <v>1.24</v>
      </c>
      <c r="G237" s="9">
        <v>2</v>
      </c>
      <c r="H237" s="10">
        <v>4.4600000000000001E-2</v>
      </c>
      <c r="J237" s="12">
        <f t="shared" ca="1" si="34"/>
        <v>539</v>
      </c>
      <c r="K237" s="13">
        <f t="shared" ca="1" si="35"/>
        <v>17.966666666666665</v>
      </c>
      <c r="L237" s="14">
        <f t="shared" ca="1" si="36"/>
        <v>2080.5915295346554</v>
      </c>
      <c r="M237" s="14">
        <f t="shared" si="37"/>
        <v>33.347000000000001</v>
      </c>
      <c r="N237" s="14">
        <f t="shared" ca="1" si="38"/>
        <v>400.82093589999999</v>
      </c>
      <c r="O237" s="20">
        <f t="shared" ca="1" si="39"/>
        <v>2514.7594654346558</v>
      </c>
      <c r="P237" s="22" t="str">
        <f t="shared" ca="1" si="40"/>
        <v>SIM</v>
      </c>
      <c r="Q237" t="b">
        <f t="shared" ca="1" si="41"/>
        <v>1</v>
      </c>
      <c r="R237" t="str">
        <f t="shared" ca="1" si="42"/>
        <v>SIM</v>
      </c>
      <c r="S237" t="str">
        <f t="shared" ca="1" si="43"/>
        <v>SIM</v>
      </c>
    </row>
    <row r="238" spans="1:19">
      <c r="A238" s="3" t="s">
        <v>596</v>
      </c>
      <c r="B238" s="3" t="s">
        <v>597</v>
      </c>
      <c r="C238" s="28" t="s">
        <v>598</v>
      </c>
      <c r="D238" s="28" t="str">
        <f t="shared" si="33"/>
        <v>06/2026</v>
      </c>
      <c r="E238" s="4">
        <v>4729.6899999999996</v>
      </c>
      <c r="F238" s="17">
        <v>1.95</v>
      </c>
      <c r="G238" s="5">
        <v>2</v>
      </c>
      <c r="H238" s="6">
        <v>4.7199999999999999E-2</v>
      </c>
      <c r="J238" s="12">
        <f t="shared" ca="1" si="34"/>
        <v>126</v>
      </c>
      <c r="K238" s="13">
        <f t="shared" ca="1" si="35"/>
        <v>4.2</v>
      </c>
      <c r="L238" s="14">
        <f t="shared" ca="1" si="36"/>
        <v>5129.3111303338765</v>
      </c>
      <c r="M238" s="14">
        <f t="shared" si="37"/>
        <v>94.593799999999987</v>
      </c>
      <c r="N238" s="14">
        <f t="shared" ca="1" si="38"/>
        <v>281.28412367999994</v>
      </c>
      <c r="O238" s="20">
        <f t="shared" ca="1" si="39"/>
        <v>5505.1890540138756</v>
      </c>
      <c r="P238" s="22" t="str">
        <f t="shared" ca="1" si="40"/>
        <v>SIM</v>
      </c>
      <c r="Q238" t="b">
        <f t="shared" ca="1" si="41"/>
        <v>1</v>
      </c>
      <c r="R238" t="str">
        <f t="shared" ca="1" si="42"/>
        <v>SIM</v>
      </c>
      <c r="S238" t="str">
        <f t="shared" ca="1" si="43"/>
        <v>SIM</v>
      </c>
    </row>
    <row r="239" spans="1:19">
      <c r="A239" s="7" t="s">
        <v>599</v>
      </c>
      <c r="B239" s="7" t="s">
        <v>600</v>
      </c>
      <c r="C239" s="29" t="s">
        <v>521</v>
      </c>
      <c r="D239" s="28" t="str">
        <f t="shared" si="33"/>
        <v>03/2026</v>
      </c>
      <c r="E239" s="8">
        <v>4170.24</v>
      </c>
      <c r="F239" s="18">
        <v>1.07</v>
      </c>
      <c r="G239" s="9">
        <v>2</v>
      </c>
      <c r="H239" s="10">
        <v>4.19E-2</v>
      </c>
      <c r="J239" s="12">
        <f t="shared" ca="1" si="34"/>
        <v>222</v>
      </c>
      <c r="K239" s="13">
        <f t="shared" ca="1" si="35"/>
        <v>7.4</v>
      </c>
      <c r="L239" s="14">
        <f t="shared" ca="1" si="36"/>
        <v>4511.9659735317073</v>
      </c>
      <c r="M239" s="14">
        <f t="shared" si="37"/>
        <v>83.404799999999994</v>
      </c>
      <c r="N239" s="14">
        <f t="shared" ca="1" si="38"/>
        <v>387.90738431999995</v>
      </c>
      <c r="O239" s="20">
        <f t="shared" ca="1" si="39"/>
        <v>4983.2781578517079</v>
      </c>
      <c r="P239" s="22" t="str">
        <f t="shared" ca="1" si="40"/>
        <v>SIM</v>
      </c>
      <c r="Q239" t="b">
        <f t="shared" ca="1" si="41"/>
        <v>1</v>
      </c>
      <c r="R239" t="str">
        <f t="shared" ca="1" si="42"/>
        <v>SIM</v>
      </c>
      <c r="S239" t="str">
        <f t="shared" ca="1" si="43"/>
        <v>SIM</v>
      </c>
    </row>
    <row r="240" spans="1:19">
      <c r="A240" s="3" t="s">
        <v>601</v>
      </c>
      <c r="B240" s="3" t="s">
        <v>602</v>
      </c>
      <c r="C240" s="28" t="s">
        <v>561</v>
      </c>
      <c r="D240" s="28" t="str">
        <f t="shared" si="33"/>
        <v>10/2026</v>
      </c>
      <c r="E240" s="4">
        <v>2483.15</v>
      </c>
      <c r="F240" s="17">
        <v>2.77</v>
      </c>
      <c r="G240" s="5">
        <v>2</v>
      </c>
      <c r="H240" s="6">
        <v>4.0599999999999997E-2</v>
      </c>
      <c r="J240" s="12">
        <f t="shared" ca="1" si="34"/>
        <v>3</v>
      </c>
      <c r="K240" s="13">
        <f t="shared" ca="1" si="35"/>
        <v>0.1</v>
      </c>
      <c r="L240" s="14">
        <f t="shared" ca="1" si="36"/>
        <v>2489.9440617401078</v>
      </c>
      <c r="M240" s="14">
        <f t="shared" si="37"/>
        <v>49.663000000000004</v>
      </c>
      <c r="N240" s="14">
        <f t="shared" ca="1" si="38"/>
        <v>3.0244767000000001</v>
      </c>
      <c r="O240" s="20">
        <f t="shared" ca="1" si="39"/>
        <v>2542.6315384401078</v>
      </c>
      <c r="P240" s="22" t="str">
        <f t="shared" ca="1" si="40"/>
        <v>NÃO</v>
      </c>
      <c r="Q240" t="b">
        <f t="shared" ca="1" si="41"/>
        <v>1</v>
      </c>
      <c r="R240" t="str">
        <f t="shared" ca="1" si="42"/>
        <v>NÃO</v>
      </c>
      <c r="S240" t="str">
        <f t="shared" ca="1" si="43"/>
        <v>NÃO</v>
      </c>
    </row>
    <row r="241" spans="1:19">
      <c r="A241" s="7" t="s">
        <v>603</v>
      </c>
      <c r="B241" s="7" t="s">
        <v>604</v>
      </c>
      <c r="C241" s="29" t="s">
        <v>297</v>
      </c>
      <c r="D241" s="28" t="str">
        <f t="shared" si="33"/>
        <v>08/2025</v>
      </c>
      <c r="E241" s="8">
        <v>466.98</v>
      </c>
      <c r="F241" s="18">
        <v>1.63</v>
      </c>
      <c r="G241" s="9">
        <v>2</v>
      </c>
      <c r="H241" s="10">
        <v>4.0800000000000003E-2</v>
      </c>
      <c r="J241" s="12">
        <f t="shared" ca="1" si="34"/>
        <v>445</v>
      </c>
      <c r="K241" s="13">
        <f t="shared" ca="1" si="35"/>
        <v>14.833333333333334</v>
      </c>
      <c r="L241" s="14">
        <f t="shared" ca="1" si="36"/>
        <v>593.54936347532316</v>
      </c>
      <c r="M241" s="14">
        <f t="shared" si="37"/>
        <v>9.3396000000000008</v>
      </c>
      <c r="N241" s="14">
        <f t="shared" ca="1" si="38"/>
        <v>84.784888800000019</v>
      </c>
      <c r="O241" s="20">
        <f t="shared" ca="1" si="39"/>
        <v>687.67385227532316</v>
      </c>
      <c r="P241" s="22" t="str">
        <f t="shared" ca="1" si="40"/>
        <v>SIM</v>
      </c>
      <c r="Q241" t="b">
        <f t="shared" ca="1" si="41"/>
        <v>1</v>
      </c>
      <c r="R241" t="str">
        <f t="shared" ca="1" si="42"/>
        <v>SIM</v>
      </c>
      <c r="S241" t="str">
        <f t="shared" ca="1" si="43"/>
        <v>SIM</v>
      </c>
    </row>
    <row r="242" spans="1:19">
      <c r="A242" s="3" t="s">
        <v>605</v>
      </c>
      <c r="B242" s="3" t="s">
        <v>439</v>
      </c>
      <c r="C242" s="28" t="s">
        <v>606</v>
      </c>
      <c r="D242" s="28" t="str">
        <f t="shared" si="33"/>
        <v>01/2026</v>
      </c>
      <c r="E242" s="4">
        <v>1695.95</v>
      </c>
      <c r="F242" s="17">
        <v>2.25</v>
      </c>
      <c r="G242" s="5">
        <v>2</v>
      </c>
      <c r="H242" s="6">
        <v>4.7699999999999999E-2</v>
      </c>
      <c r="J242" s="12">
        <f t="shared" ca="1" si="34"/>
        <v>280</v>
      </c>
      <c r="K242" s="13">
        <f t="shared" ca="1" si="35"/>
        <v>9.3333333333333339</v>
      </c>
      <c r="L242" s="14">
        <f t="shared" ca="1" si="36"/>
        <v>2087.3919289949181</v>
      </c>
      <c r="M242" s="14">
        <f t="shared" si="37"/>
        <v>33.919000000000004</v>
      </c>
      <c r="N242" s="14">
        <f t="shared" ca="1" si="38"/>
        <v>226.51108199999999</v>
      </c>
      <c r="O242" s="20">
        <f t="shared" ca="1" si="39"/>
        <v>2347.8220109949179</v>
      </c>
      <c r="P242" s="22" t="str">
        <f t="shared" ca="1" si="40"/>
        <v>SIM</v>
      </c>
      <c r="Q242" t="b">
        <f t="shared" ca="1" si="41"/>
        <v>1</v>
      </c>
      <c r="R242" t="str">
        <f t="shared" ca="1" si="42"/>
        <v>SIM</v>
      </c>
      <c r="S242" t="str">
        <f t="shared" ca="1" si="43"/>
        <v>SIM</v>
      </c>
    </row>
    <row r="243" spans="1:19">
      <c r="A243" s="7" t="s">
        <v>607</v>
      </c>
      <c r="B243" s="7" t="s">
        <v>43</v>
      </c>
      <c r="C243" s="29" t="s">
        <v>608</v>
      </c>
      <c r="D243" s="28" t="str">
        <f t="shared" si="33"/>
        <v>03/2026</v>
      </c>
      <c r="E243" s="8">
        <v>1279.8499999999999</v>
      </c>
      <c r="F243" s="18">
        <v>1.05</v>
      </c>
      <c r="G243" s="9">
        <v>2</v>
      </c>
      <c r="H243" s="10">
        <v>4.7399999999999998E-2</v>
      </c>
      <c r="J243" s="12">
        <f t="shared" ca="1" si="34"/>
        <v>213</v>
      </c>
      <c r="K243" s="13">
        <f t="shared" ca="1" si="35"/>
        <v>7.1</v>
      </c>
      <c r="L243" s="14">
        <f t="shared" ca="1" si="36"/>
        <v>1378.3735462076377</v>
      </c>
      <c r="M243" s="14">
        <f t="shared" si="37"/>
        <v>25.596999999999998</v>
      </c>
      <c r="N243" s="14">
        <f t="shared" ca="1" si="38"/>
        <v>129.21621569999999</v>
      </c>
      <c r="O243" s="20">
        <f t="shared" ca="1" si="39"/>
        <v>1533.1867619076377</v>
      </c>
      <c r="P243" s="22" t="str">
        <f t="shared" ca="1" si="40"/>
        <v>SIM</v>
      </c>
      <c r="Q243" t="b">
        <f t="shared" ca="1" si="41"/>
        <v>1</v>
      </c>
      <c r="R243" t="str">
        <f t="shared" ca="1" si="42"/>
        <v>SIM</v>
      </c>
      <c r="S243" t="str">
        <f t="shared" ca="1" si="43"/>
        <v>SIM</v>
      </c>
    </row>
    <row r="244" spans="1:19">
      <c r="A244" s="3" t="s">
        <v>609</v>
      </c>
      <c r="B244" s="3" t="s">
        <v>534</v>
      </c>
      <c r="C244" s="28" t="s">
        <v>558</v>
      </c>
      <c r="D244" s="28" t="str">
        <f t="shared" si="33"/>
        <v>03/2026</v>
      </c>
      <c r="E244" s="4">
        <v>4392.3</v>
      </c>
      <c r="F244" s="17">
        <v>2.06</v>
      </c>
      <c r="G244" s="5">
        <v>2</v>
      </c>
      <c r="H244" s="6">
        <v>4.8800000000000003E-2</v>
      </c>
      <c r="J244" s="12">
        <f t="shared" ca="1" si="34"/>
        <v>210</v>
      </c>
      <c r="K244" s="13">
        <f t="shared" ca="1" si="35"/>
        <v>7</v>
      </c>
      <c r="L244" s="14">
        <f t="shared" ca="1" si="36"/>
        <v>5066.1838172685402</v>
      </c>
      <c r="M244" s="14">
        <f t="shared" si="37"/>
        <v>87.846000000000004</v>
      </c>
      <c r="N244" s="14">
        <f t="shared" ca="1" si="38"/>
        <v>450.12290400000001</v>
      </c>
      <c r="O244" s="20">
        <f t="shared" ca="1" si="39"/>
        <v>5604.1527212685396</v>
      </c>
      <c r="P244" s="22" t="str">
        <f t="shared" ca="1" si="40"/>
        <v>SIM</v>
      </c>
      <c r="Q244" t="b">
        <f t="shared" ca="1" si="41"/>
        <v>1</v>
      </c>
      <c r="R244" t="str">
        <f t="shared" ca="1" si="42"/>
        <v>SIM</v>
      </c>
      <c r="S244" t="str">
        <f t="shared" ca="1" si="43"/>
        <v>SIM</v>
      </c>
    </row>
    <row r="245" spans="1:19">
      <c r="A245" s="7" t="s">
        <v>610</v>
      </c>
      <c r="B245" s="7" t="s">
        <v>611</v>
      </c>
      <c r="C245" s="29" t="s">
        <v>612</v>
      </c>
      <c r="D245" s="28" t="str">
        <f t="shared" si="33"/>
        <v>03/2025</v>
      </c>
      <c r="E245" s="8">
        <v>1850.95</v>
      </c>
      <c r="F245" s="18">
        <v>2.5299999999999998</v>
      </c>
      <c r="G245" s="9">
        <v>2</v>
      </c>
      <c r="H245" s="10">
        <v>3.7999999999999999E-2</v>
      </c>
      <c r="J245" s="12">
        <f t="shared" ca="1" si="34"/>
        <v>598</v>
      </c>
      <c r="K245" s="13">
        <f t="shared" ca="1" si="35"/>
        <v>19.933333333333334</v>
      </c>
      <c r="L245" s="14">
        <f t="shared" ca="1" si="36"/>
        <v>3045.7232429408341</v>
      </c>
      <c r="M245" s="14">
        <f t="shared" si="37"/>
        <v>37.018999999999998</v>
      </c>
      <c r="N245" s="14">
        <f t="shared" ca="1" si="38"/>
        <v>420.60987799999998</v>
      </c>
      <c r="O245" s="20">
        <f t="shared" ca="1" si="39"/>
        <v>3503.3521209408336</v>
      </c>
      <c r="P245" s="22" t="str">
        <f t="shared" ca="1" si="40"/>
        <v>SIM</v>
      </c>
      <c r="Q245" t="b">
        <f t="shared" ca="1" si="41"/>
        <v>1</v>
      </c>
      <c r="R245" t="str">
        <f t="shared" ca="1" si="42"/>
        <v>SIM</v>
      </c>
      <c r="S245" t="str">
        <f t="shared" ca="1" si="43"/>
        <v>SIM</v>
      </c>
    </row>
    <row r="246" spans="1:19">
      <c r="A246" s="3" t="s">
        <v>613</v>
      </c>
      <c r="B246" s="3" t="s">
        <v>479</v>
      </c>
      <c r="C246" s="28" t="s">
        <v>48</v>
      </c>
      <c r="D246" s="28" t="str">
        <f t="shared" si="33"/>
        <v>09/2025</v>
      </c>
      <c r="E246" s="4">
        <v>3193.4</v>
      </c>
      <c r="F246" s="17">
        <v>2.75</v>
      </c>
      <c r="G246" s="5">
        <v>2</v>
      </c>
      <c r="H246" s="6">
        <v>4.9700000000000001E-2</v>
      </c>
      <c r="J246" s="12">
        <f t="shared" ca="1" si="34"/>
        <v>394</v>
      </c>
      <c r="K246" s="13">
        <f t="shared" ca="1" si="35"/>
        <v>13.133333333333333</v>
      </c>
      <c r="L246" s="14">
        <f t="shared" ca="1" si="36"/>
        <v>4560.2434562175431</v>
      </c>
      <c r="M246" s="14">
        <f t="shared" si="37"/>
        <v>63.868000000000002</v>
      </c>
      <c r="N246" s="14">
        <f t="shared" ca="1" si="38"/>
        <v>625.32520120000004</v>
      </c>
      <c r="O246" s="20">
        <f t="shared" ca="1" si="39"/>
        <v>5249.4366574175438</v>
      </c>
      <c r="P246" s="22" t="str">
        <f t="shared" ca="1" si="40"/>
        <v>SIM</v>
      </c>
      <c r="Q246" t="b">
        <f t="shared" ca="1" si="41"/>
        <v>1</v>
      </c>
      <c r="R246" t="str">
        <f t="shared" ca="1" si="42"/>
        <v>SIM</v>
      </c>
      <c r="S246" t="str">
        <f t="shared" ca="1" si="43"/>
        <v>SIM</v>
      </c>
    </row>
    <row r="247" spans="1:19">
      <c r="A247" s="7" t="s">
        <v>614</v>
      </c>
      <c r="B247" s="7" t="s">
        <v>615</v>
      </c>
      <c r="C247" s="29" t="s">
        <v>616</v>
      </c>
      <c r="D247" s="28" t="str">
        <f t="shared" si="33"/>
        <v>11/2025</v>
      </c>
      <c r="E247" s="8">
        <v>2176.17</v>
      </c>
      <c r="F247" s="18">
        <v>1.84</v>
      </c>
      <c r="G247" s="9">
        <v>2</v>
      </c>
      <c r="H247" s="10">
        <v>4.48E-2</v>
      </c>
      <c r="J247" s="12">
        <f t="shared" ca="1" si="34"/>
        <v>355</v>
      </c>
      <c r="K247" s="13">
        <f t="shared" ca="1" si="35"/>
        <v>11.833333333333334</v>
      </c>
      <c r="L247" s="14">
        <f t="shared" ca="1" si="36"/>
        <v>2700.186582803336</v>
      </c>
      <c r="M247" s="14">
        <f t="shared" si="37"/>
        <v>43.523400000000002</v>
      </c>
      <c r="N247" s="14">
        <f t="shared" ca="1" si="38"/>
        <v>346.0980768</v>
      </c>
      <c r="O247" s="20">
        <f t="shared" ca="1" si="39"/>
        <v>3089.808059603336</v>
      </c>
      <c r="P247" s="22" t="str">
        <f t="shared" ca="1" si="40"/>
        <v>SIM</v>
      </c>
      <c r="Q247" t="b">
        <f t="shared" ca="1" si="41"/>
        <v>1</v>
      </c>
      <c r="R247" t="str">
        <f t="shared" ca="1" si="42"/>
        <v>SIM</v>
      </c>
      <c r="S247" t="str">
        <f t="shared" ca="1" si="43"/>
        <v>SIM</v>
      </c>
    </row>
    <row r="248" spans="1:19">
      <c r="A248" s="3" t="s">
        <v>617</v>
      </c>
      <c r="B248" s="3" t="s">
        <v>618</v>
      </c>
      <c r="C248" s="28" t="s">
        <v>619</v>
      </c>
      <c r="D248" s="28" t="str">
        <f t="shared" si="33"/>
        <v>01/2025</v>
      </c>
      <c r="E248" s="4">
        <v>1869.92</v>
      </c>
      <c r="F248" s="17">
        <v>1.57</v>
      </c>
      <c r="G248" s="5">
        <v>2</v>
      </c>
      <c r="H248" s="6">
        <v>3.5900000000000001E-2</v>
      </c>
      <c r="J248" s="12">
        <f t="shared" ca="1" si="34"/>
        <v>635</v>
      </c>
      <c r="K248" s="13">
        <f t="shared" ca="1" si="35"/>
        <v>21.166666666666668</v>
      </c>
      <c r="L248" s="14">
        <f t="shared" ca="1" si="36"/>
        <v>2600.3098649668764</v>
      </c>
      <c r="M248" s="14">
        <f t="shared" si="37"/>
        <v>37.398400000000002</v>
      </c>
      <c r="N248" s="14">
        <f t="shared" ca="1" si="38"/>
        <v>426.27631280000003</v>
      </c>
      <c r="O248" s="20">
        <f t="shared" ca="1" si="39"/>
        <v>3063.9845777668766</v>
      </c>
      <c r="P248" s="22" t="str">
        <f t="shared" ca="1" si="40"/>
        <v>SIM</v>
      </c>
      <c r="Q248" t="b">
        <f t="shared" ca="1" si="41"/>
        <v>1</v>
      </c>
      <c r="R248" t="str">
        <f t="shared" ca="1" si="42"/>
        <v>SIM</v>
      </c>
      <c r="S248" t="str">
        <f t="shared" ca="1" si="43"/>
        <v>SIM</v>
      </c>
    </row>
    <row r="249" spans="1:19">
      <c r="A249" s="7" t="s">
        <v>620</v>
      </c>
      <c r="B249" s="7" t="s">
        <v>49</v>
      </c>
      <c r="C249" s="29" t="s">
        <v>116</v>
      </c>
      <c r="D249" s="28" t="str">
        <f t="shared" si="33"/>
        <v>11/2025</v>
      </c>
      <c r="E249" s="8">
        <v>1494.74</v>
      </c>
      <c r="F249" s="18">
        <v>2.82</v>
      </c>
      <c r="G249" s="9">
        <v>2</v>
      </c>
      <c r="H249" s="10">
        <v>3.09E-2</v>
      </c>
      <c r="J249" s="12">
        <f t="shared" ca="1" si="34"/>
        <v>333</v>
      </c>
      <c r="K249" s="13">
        <f t="shared" ca="1" si="35"/>
        <v>11.1</v>
      </c>
      <c r="L249" s="14">
        <f t="shared" ca="1" si="36"/>
        <v>2035.2933396823846</v>
      </c>
      <c r="M249" s="14">
        <f t="shared" si="37"/>
        <v>29.8948</v>
      </c>
      <c r="N249" s="14">
        <f t="shared" ca="1" si="38"/>
        <v>153.80426177999999</v>
      </c>
      <c r="O249" s="20">
        <f t="shared" ca="1" si="39"/>
        <v>2218.9924014623848</v>
      </c>
      <c r="P249" s="22" t="str">
        <f t="shared" ca="1" si="40"/>
        <v>SIM</v>
      </c>
      <c r="Q249" t="b">
        <f t="shared" ca="1" si="41"/>
        <v>1</v>
      </c>
      <c r="R249" t="str">
        <f t="shared" ca="1" si="42"/>
        <v>SIM</v>
      </c>
      <c r="S249" t="str">
        <f t="shared" ca="1" si="43"/>
        <v>SIM</v>
      </c>
    </row>
    <row r="250" spans="1:19">
      <c r="A250" s="3" t="s">
        <v>621</v>
      </c>
      <c r="B250" s="3" t="s">
        <v>622</v>
      </c>
      <c r="C250" s="28" t="s">
        <v>623</v>
      </c>
      <c r="D250" s="28" t="str">
        <f t="shared" si="33"/>
        <v>03/2026</v>
      </c>
      <c r="E250" s="4">
        <v>2049.41</v>
      </c>
      <c r="F250" s="17">
        <v>1.25</v>
      </c>
      <c r="G250" s="5">
        <v>2</v>
      </c>
      <c r="H250" s="6">
        <v>4.9099999999999998E-2</v>
      </c>
      <c r="J250" s="12">
        <f t="shared" ca="1" si="34"/>
        <v>235</v>
      </c>
      <c r="K250" s="13">
        <f t="shared" ca="1" si="35"/>
        <v>7.833333333333333</v>
      </c>
      <c r="L250" s="14">
        <f t="shared" ca="1" si="36"/>
        <v>2258.8632202257413</v>
      </c>
      <c r="M250" s="14">
        <f t="shared" si="37"/>
        <v>40.988199999999999</v>
      </c>
      <c r="N250" s="14">
        <f t="shared" ca="1" si="38"/>
        <v>236.47117284999996</v>
      </c>
      <c r="O250" s="20">
        <f t="shared" ca="1" si="39"/>
        <v>2536.3225930757412</v>
      </c>
      <c r="P250" s="22" t="str">
        <f t="shared" ca="1" si="40"/>
        <v>SIM</v>
      </c>
      <c r="Q250" t="b">
        <f t="shared" ca="1" si="41"/>
        <v>1</v>
      </c>
      <c r="R250" t="str">
        <f t="shared" ca="1" si="42"/>
        <v>SIM</v>
      </c>
      <c r="S250" t="str">
        <f t="shared" ca="1" si="43"/>
        <v>SIM</v>
      </c>
    </row>
    <row r="251" spans="1:19">
      <c r="A251" s="7" t="s">
        <v>624</v>
      </c>
      <c r="B251" s="7" t="s">
        <v>625</v>
      </c>
      <c r="C251" s="29" t="s">
        <v>626</v>
      </c>
      <c r="D251" s="28" t="str">
        <f t="shared" si="33"/>
        <v>03/2025</v>
      </c>
      <c r="E251" s="8">
        <v>583.64</v>
      </c>
      <c r="F251" s="18">
        <v>1.84</v>
      </c>
      <c r="G251" s="9">
        <v>2</v>
      </c>
      <c r="H251" s="10">
        <v>4.7600000000000003E-2</v>
      </c>
      <c r="J251" s="12">
        <f t="shared" ca="1" si="34"/>
        <v>585</v>
      </c>
      <c r="K251" s="13">
        <f t="shared" ca="1" si="35"/>
        <v>19.5</v>
      </c>
      <c r="L251" s="14">
        <f t="shared" ca="1" si="36"/>
        <v>832.82483295530778</v>
      </c>
      <c r="M251" s="14">
        <f t="shared" si="37"/>
        <v>11.672800000000001</v>
      </c>
      <c r="N251" s="14">
        <f t="shared" ca="1" si="38"/>
        <v>162.52039439999999</v>
      </c>
      <c r="O251" s="20">
        <f t="shared" ca="1" si="39"/>
        <v>1007.0180273553078</v>
      </c>
      <c r="P251" s="22" t="str">
        <f t="shared" ca="1" si="40"/>
        <v>SIM</v>
      </c>
      <c r="Q251" t="b">
        <f t="shared" ca="1" si="41"/>
        <v>1</v>
      </c>
      <c r="R251" t="str">
        <f t="shared" ca="1" si="42"/>
        <v>SIM</v>
      </c>
      <c r="S251" t="str">
        <f t="shared" ca="1" si="43"/>
        <v>SIM</v>
      </c>
    </row>
    <row r="252" spans="1:19">
      <c r="A252" s="3" t="s">
        <v>627</v>
      </c>
      <c r="B252" s="3" t="s">
        <v>474</v>
      </c>
      <c r="C252" s="28" t="s">
        <v>628</v>
      </c>
      <c r="D252" s="28" t="str">
        <f t="shared" si="33"/>
        <v>12/2025</v>
      </c>
      <c r="E252" s="4">
        <v>2416.9</v>
      </c>
      <c r="F252" s="17">
        <v>2.23</v>
      </c>
      <c r="G252" s="5">
        <v>2</v>
      </c>
      <c r="H252" s="6">
        <v>3.3300000000000003E-2</v>
      </c>
      <c r="J252" s="12">
        <f t="shared" ca="1" si="34"/>
        <v>325</v>
      </c>
      <c r="K252" s="13">
        <f t="shared" ca="1" si="35"/>
        <v>10.833333333333334</v>
      </c>
      <c r="L252" s="14">
        <f t="shared" ca="1" si="36"/>
        <v>3069.1934096144628</v>
      </c>
      <c r="M252" s="14">
        <f t="shared" si="37"/>
        <v>48.338000000000001</v>
      </c>
      <c r="N252" s="14">
        <f t="shared" ca="1" si="38"/>
        <v>261.56900250000007</v>
      </c>
      <c r="O252" s="20">
        <f t="shared" ca="1" si="39"/>
        <v>3379.1004121144629</v>
      </c>
      <c r="P252" s="22" t="str">
        <f t="shared" ca="1" si="40"/>
        <v>SIM</v>
      </c>
      <c r="Q252" t="b">
        <f t="shared" ca="1" si="41"/>
        <v>1</v>
      </c>
      <c r="R252" t="str">
        <f t="shared" ca="1" si="42"/>
        <v>SIM</v>
      </c>
      <c r="S252" t="str">
        <f t="shared" ca="1" si="43"/>
        <v>SIM</v>
      </c>
    </row>
    <row r="253" spans="1:19">
      <c r="A253" s="7" t="s">
        <v>629</v>
      </c>
      <c r="B253" s="7" t="s">
        <v>630</v>
      </c>
      <c r="C253" s="29" t="s">
        <v>631</v>
      </c>
      <c r="D253" s="28" t="str">
        <f t="shared" si="33"/>
        <v>08/2026</v>
      </c>
      <c r="E253" s="8">
        <v>1273.6099999999999</v>
      </c>
      <c r="F253" s="18">
        <v>2.89</v>
      </c>
      <c r="G253" s="9">
        <v>2</v>
      </c>
      <c r="H253" s="10">
        <v>4.2999999999999997E-2</v>
      </c>
      <c r="J253" s="12">
        <f t="shared" ca="1" si="34"/>
        <v>83</v>
      </c>
      <c r="K253" s="13">
        <f t="shared" ca="1" si="35"/>
        <v>2.7666666666666666</v>
      </c>
      <c r="L253" s="14">
        <f t="shared" ca="1" si="36"/>
        <v>1378.0624202435024</v>
      </c>
      <c r="M253" s="14">
        <f t="shared" si="37"/>
        <v>25.472199999999997</v>
      </c>
      <c r="N253" s="14">
        <f t="shared" ca="1" si="38"/>
        <v>45.455140899999989</v>
      </c>
      <c r="O253" s="20">
        <f t="shared" ca="1" si="39"/>
        <v>1448.9897611435024</v>
      </c>
      <c r="P253" s="22" t="str">
        <f t="shared" ca="1" si="40"/>
        <v>NÃO</v>
      </c>
      <c r="Q253" t="b">
        <f t="shared" ca="1" si="41"/>
        <v>1</v>
      </c>
      <c r="R253" t="str">
        <f t="shared" ca="1" si="42"/>
        <v>NÃO</v>
      </c>
      <c r="S253" t="str">
        <f t="shared" ca="1" si="43"/>
        <v>NÃO</v>
      </c>
    </row>
    <row r="254" spans="1:19">
      <c r="A254" s="3" t="s">
        <v>632</v>
      </c>
      <c r="B254" s="3" t="s">
        <v>83</v>
      </c>
      <c r="C254" s="28" t="s">
        <v>633</v>
      </c>
      <c r="D254" s="28" t="str">
        <f t="shared" si="33"/>
        <v>09/2025</v>
      </c>
      <c r="E254" s="4">
        <v>733.64</v>
      </c>
      <c r="F254" s="17">
        <v>1.0900000000000001</v>
      </c>
      <c r="G254" s="5">
        <v>2</v>
      </c>
      <c r="H254" s="6">
        <v>3.7699999999999997E-2</v>
      </c>
      <c r="J254" s="12">
        <f t="shared" ca="1" si="34"/>
        <v>395</v>
      </c>
      <c r="K254" s="13">
        <f t="shared" ca="1" si="35"/>
        <v>13.166666666666666</v>
      </c>
      <c r="L254" s="14">
        <f t="shared" ca="1" si="36"/>
        <v>846.2024077009811</v>
      </c>
      <c r="M254" s="14">
        <f t="shared" si="37"/>
        <v>14.672800000000001</v>
      </c>
      <c r="N254" s="14">
        <f t="shared" ca="1" si="38"/>
        <v>109.25000059999998</v>
      </c>
      <c r="O254" s="20">
        <f t="shared" ca="1" si="39"/>
        <v>970.12520830098117</v>
      </c>
      <c r="P254" s="22" t="str">
        <f t="shared" ca="1" si="40"/>
        <v>SIM</v>
      </c>
      <c r="Q254" t="b">
        <f t="shared" ca="1" si="41"/>
        <v>1</v>
      </c>
      <c r="R254" t="str">
        <f t="shared" ca="1" si="42"/>
        <v>SIM</v>
      </c>
      <c r="S254" t="str">
        <f t="shared" ca="1" si="43"/>
        <v>SIM</v>
      </c>
    </row>
    <row r="255" spans="1:19">
      <c r="A255" s="7" t="s">
        <v>634</v>
      </c>
      <c r="B255" s="7" t="s">
        <v>89</v>
      </c>
      <c r="C255" s="29" t="s">
        <v>536</v>
      </c>
      <c r="D255" s="28" t="str">
        <f t="shared" si="33"/>
        <v>06/2026</v>
      </c>
      <c r="E255" s="8">
        <v>4157.1000000000004</v>
      </c>
      <c r="F255" s="18">
        <v>2.6</v>
      </c>
      <c r="G255" s="9">
        <v>2</v>
      </c>
      <c r="H255" s="10">
        <v>4.2599999999999999E-2</v>
      </c>
      <c r="J255" s="12">
        <f t="shared" ca="1" si="34"/>
        <v>142</v>
      </c>
      <c r="K255" s="13">
        <f t="shared" ca="1" si="35"/>
        <v>4.7333333333333334</v>
      </c>
      <c r="L255" s="14">
        <f t="shared" ca="1" si="36"/>
        <v>4694.1249542458172</v>
      </c>
      <c r="M255" s="14">
        <f t="shared" si="37"/>
        <v>83.14200000000001</v>
      </c>
      <c r="N255" s="14">
        <f t="shared" ca="1" si="38"/>
        <v>251.47129320000002</v>
      </c>
      <c r="O255" s="20">
        <f t="shared" ca="1" si="39"/>
        <v>5028.7382474458173</v>
      </c>
      <c r="P255" s="22" t="str">
        <f t="shared" ca="1" si="40"/>
        <v>SIM</v>
      </c>
      <c r="Q255" t="b">
        <f t="shared" ca="1" si="41"/>
        <v>1</v>
      </c>
      <c r="R255" t="str">
        <f t="shared" ca="1" si="42"/>
        <v>SIM</v>
      </c>
      <c r="S255" t="str">
        <f t="shared" ca="1" si="43"/>
        <v>SIM</v>
      </c>
    </row>
    <row r="256" spans="1:19">
      <c r="A256" s="3" t="s">
        <v>635</v>
      </c>
      <c r="B256" s="3" t="s">
        <v>56</v>
      </c>
      <c r="C256" s="28" t="s">
        <v>377</v>
      </c>
      <c r="D256" s="28" t="str">
        <f t="shared" si="33"/>
        <v>06/2026</v>
      </c>
      <c r="E256" s="4">
        <v>3046.78</v>
      </c>
      <c r="F256" s="17">
        <v>2.0499999999999998</v>
      </c>
      <c r="G256" s="5">
        <v>2</v>
      </c>
      <c r="H256" s="6">
        <v>3.5200000000000002E-2</v>
      </c>
      <c r="J256" s="12">
        <f t="shared" ca="1" si="34"/>
        <v>127</v>
      </c>
      <c r="K256" s="13">
        <f t="shared" ca="1" si="35"/>
        <v>4.2333333333333334</v>
      </c>
      <c r="L256" s="14">
        <f t="shared" ca="1" si="36"/>
        <v>3320.0872821852686</v>
      </c>
      <c r="M256" s="14">
        <f t="shared" si="37"/>
        <v>60.935600000000001</v>
      </c>
      <c r="N256" s="14">
        <f t="shared" ca="1" si="38"/>
        <v>136.20325312</v>
      </c>
      <c r="O256" s="20">
        <f t="shared" ca="1" si="39"/>
        <v>3517.2261353052681</v>
      </c>
      <c r="P256" s="22" t="str">
        <f t="shared" ca="1" si="40"/>
        <v>SIM</v>
      </c>
      <c r="Q256" t="b">
        <f t="shared" ca="1" si="41"/>
        <v>1</v>
      </c>
      <c r="R256" t="str">
        <f t="shared" ca="1" si="42"/>
        <v>SIM</v>
      </c>
      <c r="S256" t="str">
        <f t="shared" ca="1" si="43"/>
        <v>SIM</v>
      </c>
    </row>
    <row r="257" spans="1:19">
      <c r="A257" s="7" t="s">
        <v>636</v>
      </c>
      <c r="B257" s="7" t="s">
        <v>637</v>
      </c>
      <c r="C257" s="29" t="s">
        <v>638</v>
      </c>
      <c r="D257" s="28" t="str">
        <f t="shared" si="33"/>
        <v>03/2026</v>
      </c>
      <c r="E257" s="8">
        <v>2532.25</v>
      </c>
      <c r="F257" s="18">
        <v>2.99</v>
      </c>
      <c r="G257" s="9">
        <v>2</v>
      </c>
      <c r="H257" s="10">
        <v>4.7899999999999998E-2</v>
      </c>
      <c r="J257" s="12">
        <f t="shared" ca="1" si="34"/>
        <v>214</v>
      </c>
      <c r="K257" s="13">
        <f t="shared" ca="1" si="35"/>
        <v>7.1333333333333337</v>
      </c>
      <c r="L257" s="14">
        <f t="shared" ca="1" si="36"/>
        <v>3124.481766299361</v>
      </c>
      <c r="M257" s="14">
        <f t="shared" si="37"/>
        <v>50.645000000000003</v>
      </c>
      <c r="N257" s="14">
        <f t="shared" ca="1" si="38"/>
        <v>259.57081850000003</v>
      </c>
      <c r="O257" s="20">
        <f t="shared" ca="1" si="39"/>
        <v>3434.6975847993608</v>
      </c>
      <c r="P257" s="22" t="str">
        <f t="shared" ca="1" si="40"/>
        <v>SIM</v>
      </c>
      <c r="Q257" t="b">
        <f t="shared" ca="1" si="41"/>
        <v>1</v>
      </c>
      <c r="R257" t="str">
        <f t="shared" ca="1" si="42"/>
        <v>SIM</v>
      </c>
      <c r="S257" t="str">
        <f t="shared" ca="1" si="43"/>
        <v>SIM</v>
      </c>
    </row>
    <row r="258" spans="1:19">
      <c r="A258" s="3" t="s">
        <v>639</v>
      </c>
      <c r="B258" s="3" t="s">
        <v>640</v>
      </c>
      <c r="C258" s="28" t="s">
        <v>148</v>
      </c>
      <c r="D258" s="28" t="str">
        <f t="shared" si="33"/>
        <v>06/2025</v>
      </c>
      <c r="E258" s="4">
        <v>2754.33</v>
      </c>
      <c r="F258" s="17">
        <v>2.19</v>
      </c>
      <c r="G258" s="5">
        <v>2</v>
      </c>
      <c r="H258" s="6">
        <v>4.1599999999999998E-2</v>
      </c>
      <c r="J258" s="12">
        <f t="shared" ca="1" si="34"/>
        <v>502</v>
      </c>
      <c r="K258" s="13">
        <f t="shared" ca="1" si="35"/>
        <v>16.733333333333334</v>
      </c>
      <c r="L258" s="14">
        <f t="shared" ca="1" si="36"/>
        <v>3957.7636151072484</v>
      </c>
      <c r="M258" s="14">
        <f t="shared" si="37"/>
        <v>55.086599999999997</v>
      </c>
      <c r="N258" s="14">
        <f t="shared" ca="1" si="38"/>
        <v>575.19224255999995</v>
      </c>
      <c r="O258" s="20">
        <f t="shared" ca="1" si="39"/>
        <v>4588.0424576672485</v>
      </c>
      <c r="P258" s="22" t="str">
        <f t="shared" ca="1" si="40"/>
        <v>SIM</v>
      </c>
      <c r="Q258" t="b">
        <f t="shared" ca="1" si="41"/>
        <v>1</v>
      </c>
      <c r="R258" t="str">
        <f t="shared" ca="1" si="42"/>
        <v>SIM</v>
      </c>
      <c r="S258" t="str">
        <f t="shared" ca="1" si="43"/>
        <v>SIM</v>
      </c>
    </row>
    <row r="259" spans="1:19">
      <c r="A259" s="7" t="s">
        <v>641</v>
      </c>
      <c r="B259" s="7" t="s">
        <v>336</v>
      </c>
      <c r="C259" s="29" t="s">
        <v>642</v>
      </c>
      <c r="D259" s="28" t="str">
        <f t="shared" si="33"/>
        <v>09/2026</v>
      </c>
      <c r="E259" s="8">
        <v>4405.6899999999996</v>
      </c>
      <c r="F259" s="18">
        <v>1.53</v>
      </c>
      <c r="G259" s="9">
        <v>2</v>
      </c>
      <c r="H259" s="10">
        <v>3.2599999999999997E-2</v>
      </c>
      <c r="J259" s="12">
        <f t="shared" ca="1" si="34"/>
        <v>30</v>
      </c>
      <c r="K259" s="13">
        <f t="shared" ca="1" si="35"/>
        <v>1</v>
      </c>
      <c r="L259" s="14">
        <f t="shared" ca="1" si="36"/>
        <v>4473.0970569999999</v>
      </c>
      <c r="M259" s="14">
        <f t="shared" si="37"/>
        <v>88.113799999999998</v>
      </c>
      <c r="N259" s="14">
        <f t="shared" ca="1" si="38"/>
        <v>43.08764819999999</v>
      </c>
      <c r="O259" s="20">
        <f t="shared" ca="1" si="39"/>
        <v>4604.2985052000004</v>
      </c>
      <c r="P259" s="22" t="str">
        <f t="shared" ca="1" si="40"/>
        <v>NÃO</v>
      </c>
      <c r="Q259" t="b">
        <f t="shared" ca="1" si="41"/>
        <v>1</v>
      </c>
      <c r="R259" t="str">
        <f t="shared" ca="1" si="42"/>
        <v>NÃO</v>
      </c>
      <c r="S259" t="str">
        <f t="shared" ca="1" si="43"/>
        <v>NÃO</v>
      </c>
    </row>
    <row r="260" spans="1:19">
      <c r="A260" s="3" t="s">
        <v>643</v>
      </c>
      <c r="B260" s="3" t="s">
        <v>154</v>
      </c>
      <c r="C260" s="28" t="s">
        <v>98</v>
      </c>
      <c r="D260" s="28" t="str">
        <f t="shared" si="33"/>
        <v>08/2025</v>
      </c>
      <c r="E260" s="4">
        <v>4283.1400000000003</v>
      </c>
      <c r="F260" s="17">
        <v>1.07</v>
      </c>
      <c r="G260" s="5">
        <v>2</v>
      </c>
      <c r="H260" s="6">
        <v>3.6600000000000001E-2</v>
      </c>
      <c r="J260" s="12">
        <f t="shared" ca="1" si="34"/>
        <v>431</v>
      </c>
      <c r="K260" s="13">
        <f t="shared" ca="1" si="35"/>
        <v>14.366666666666667</v>
      </c>
      <c r="L260" s="14">
        <f t="shared" ca="1" si="36"/>
        <v>4990.7845351706301</v>
      </c>
      <c r="M260" s="14">
        <f t="shared" si="37"/>
        <v>85.662800000000004</v>
      </c>
      <c r="N260" s="14">
        <f t="shared" ca="1" si="38"/>
        <v>675.64820244000009</v>
      </c>
      <c r="O260" s="20">
        <f t="shared" ca="1" si="39"/>
        <v>5752.0955376106303</v>
      </c>
      <c r="P260" s="22" t="str">
        <f t="shared" ca="1" si="40"/>
        <v>SIM</v>
      </c>
      <c r="Q260" t="b">
        <f t="shared" ca="1" si="41"/>
        <v>1</v>
      </c>
      <c r="R260" t="str">
        <f t="shared" ca="1" si="42"/>
        <v>SIM</v>
      </c>
      <c r="S260" t="str">
        <f t="shared" ca="1" si="43"/>
        <v>SIM</v>
      </c>
    </row>
    <row r="261" spans="1:19">
      <c r="A261" s="7" t="s">
        <v>644</v>
      </c>
      <c r="B261" s="7" t="s">
        <v>645</v>
      </c>
      <c r="C261" s="29" t="s">
        <v>45</v>
      </c>
      <c r="D261" s="28" t="str">
        <f t="shared" ref="D261:D303" si="44">MID(C261,4,7)</f>
        <v>07/2026</v>
      </c>
      <c r="E261" s="8">
        <v>3715.78</v>
      </c>
      <c r="F261" s="18">
        <v>1.56</v>
      </c>
      <c r="G261" s="9">
        <v>2</v>
      </c>
      <c r="H261" s="10">
        <v>3.5099999999999999E-2</v>
      </c>
      <c r="J261" s="12">
        <f t="shared" ref="J261:J303" ca="1" si="45">I$4-C261</f>
        <v>109</v>
      </c>
      <c r="K261" s="13">
        <f t="shared" ref="K261:K303" ca="1" si="46">J261/30</f>
        <v>3.6333333333333333</v>
      </c>
      <c r="L261" s="14">
        <f t="shared" ref="L261:L303" ca="1" si="47">E261*POWER(1+F261/100,K261)</f>
        <v>3930.7531805099607</v>
      </c>
      <c r="M261" s="14">
        <f t="shared" ref="M261:M303" si="48">E261*G261/100</f>
        <v>74.315600000000003</v>
      </c>
      <c r="N261" s="14">
        <f t="shared" ref="N261:N303" ca="1" si="49">E261*H261/100*J261</f>
        <v>142.16202701999998</v>
      </c>
      <c r="O261" s="20">
        <f t="shared" ref="O261:O303" ca="1" si="50">L261+M261+N261</f>
        <v>4147.2308075299607</v>
      </c>
      <c r="P261" s="22" t="str">
        <f t="shared" ref="P261:P303" ca="1" si="51">IF(J261&gt;=90,"SIM","NÃO")</f>
        <v>SIM</v>
      </c>
      <c r="Q261" t="b">
        <f t="shared" ref="Q261:Q303" ca="1" si="52">O261&gt;300</f>
        <v>1</v>
      </c>
      <c r="R261" t="str">
        <f t="shared" ref="R261:R303" ca="1" si="53">IF(AND(P261="SIM",Q261=TRUE), "SIM","NÃO")</f>
        <v>SIM</v>
      </c>
      <c r="S261" t="str">
        <f t="shared" ref="S261:S303" ca="1" si="54">IF(OR(P261="SIM",YEAR(TODAY())-YEAR(C261)&gt;=1), "SIM", "NÃO")</f>
        <v>SIM</v>
      </c>
    </row>
    <row r="262" spans="1:19">
      <c r="A262" s="3" t="s">
        <v>646</v>
      </c>
      <c r="B262" s="3" t="s">
        <v>647</v>
      </c>
      <c r="C262" s="28" t="s">
        <v>648</v>
      </c>
      <c r="D262" s="28" t="str">
        <f t="shared" si="44"/>
        <v>03/2025</v>
      </c>
      <c r="E262" s="4">
        <v>3524.21</v>
      </c>
      <c r="F262" s="17">
        <v>1.1000000000000001</v>
      </c>
      <c r="G262" s="5">
        <v>2</v>
      </c>
      <c r="H262" s="6">
        <v>4.07E-2</v>
      </c>
      <c r="J262" s="12">
        <f t="shared" ca="1" si="45"/>
        <v>605</v>
      </c>
      <c r="K262" s="13">
        <f t="shared" ca="1" si="46"/>
        <v>20.166666666666668</v>
      </c>
      <c r="L262" s="14">
        <f t="shared" ca="1" si="47"/>
        <v>4394.1689429506387</v>
      </c>
      <c r="M262" s="14">
        <f t="shared" si="48"/>
        <v>70.484200000000001</v>
      </c>
      <c r="N262" s="14">
        <f t="shared" ca="1" si="49"/>
        <v>867.78384934999997</v>
      </c>
      <c r="O262" s="20">
        <f t="shared" ca="1" si="50"/>
        <v>5332.4369923006388</v>
      </c>
      <c r="P262" s="22" t="str">
        <f t="shared" ca="1" si="51"/>
        <v>SIM</v>
      </c>
      <c r="Q262" t="b">
        <f t="shared" ca="1" si="52"/>
        <v>1</v>
      </c>
      <c r="R262" t="str">
        <f t="shared" ca="1" si="53"/>
        <v>SIM</v>
      </c>
      <c r="S262" t="str">
        <f t="shared" ca="1" si="54"/>
        <v>SIM</v>
      </c>
    </row>
    <row r="263" spans="1:19">
      <c r="A263" s="7" t="s">
        <v>649</v>
      </c>
      <c r="B263" s="7" t="s">
        <v>170</v>
      </c>
      <c r="C263" s="29" t="s">
        <v>541</v>
      </c>
      <c r="D263" s="28" t="str">
        <f t="shared" si="44"/>
        <v>03/2025</v>
      </c>
      <c r="E263" s="8">
        <v>680.92</v>
      </c>
      <c r="F263" s="18">
        <v>2.79</v>
      </c>
      <c r="G263" s="9">
        <v>2</v>
      </c>
      <c r="H263" s="10">
        <v>4.9799999999999997E-2</v>
      </c>
      <c r="J263" s="12">
        <f t="shared" ca="1" si="45"/>
        <v>586</v>
      </c>
      <c r="K263" s="13">
        <f t="shared" ca="1" si="46"/>
        <v>19.533333333333335</v>
      </c>
      <c r="L263" s="14">
        <f t="shared" ca="1" si="47"/>
        <v>1165.564578711487</v>
      </c>
      <c r="M263" s="14">
        <f t="shared" si="48"/>
        <v>13.618399999999999</v>
      </c>
      <c r="N263" s="14">
        <f t="shared" ca="1" si="49"/>
        <v>198.71152175999998</v>
      </c>
      <c r="O263" s="20">
        <f t="shared" ca="1" si="50"/>
        <v>1377.8945004714869</v>
      </c>
      <c r="P263" s="22" t="str">
        <f t="shared" ca="1" si="51"/>
        <v>SIM</v>
      </c>
      <c r="Q263" t="b">
        <f t="shared" ca="1" si="52"/>
        <v>1</v>
      </c>
      <c r="R263" t="str">
        <f t="shared" ca="1" si="53"/>
        <v>SIM</v>
      </c>
      <c r="S263" t="str">
        <f t="shared" ca="1" si="54"/>
        <v>SIM</v>
      </c>
    </row>
    <row r="264" spans="1:19">
      <c r="A264" s="3" t="s">
        <v>650</v>
      </c>
      <c r="B264" s="3" t="s">
        <v>282</v>
      </c>
      <c r="C264" s="28" t="s">
        <v>651</v>
      </c>
      <c r="D264" s="28" t="str">
        <f t="shared" si="44"/>
        <v>05/2025</v>
      </c>
      <c r="E264" s="4">
        <v>4432.1000000000004</v>
      </c>
      <c r="F264" s="17">
        <v>2.0299999999999998</v>
      </c>
      <c r="G264" s="5">
        <v>2</v>
      </c>
      <c r="H264" s="6">
        <v>4.8099999999999997E-2</v>
      </c>
      <c r="J264" s="12">
        <f t="shared" ca="1" si="45"/>
        <v>529</v>
      </c>
      <c r="K264" s="13">
        <f t="shared" ca="1" si="46"/>
        <v>17.633333333333333</v>
      </c>
      <c r="L264" s="14">
        <f t="shared" ca="1" si="47"/>
        <v>6317.0059405851553</v>
      </c>
      <c r="M264" s="14">
        <f t="shared" si="48"/>
        <v>88.64200000000001</v>
      </c>
      <c r="N264" s="14">
        <f t="shared" ca="1" si="49"/>
        <v>1127.7434128999998</v>
      </c>
      <c r="O264" s="20">
        <f t="shared" ca="1" si="50"/>
        <v>7533.3913534851545</v>
      </c>
      <c r="P264" s="22" t="str">
        <f t="shared" ca="1" si="51"/>
        <v>SIM</v>
      </c>
      <c r="Q264" t="b">
        <f t="shared" ca="1" si="52"/>
        <v>1</v>
      </c>
      <c r="R264" t="str">
        <f t="shared" ca="1" si="53"/>
        <v>SIM</v>
      </c>
      <c r="S264" t="str">
        <f t="shared" ca="1" si="54"/>
        <v>SIM</v>
      </c>
    </row>
    <row r="265" spans="1:19">
      <c r="A265" s="7" t="s">
        <v>652</v>
      </c>
      <c r="B265" s="7" t="s">
        <v>459</v>
      </c>
      <c r="C265" s="29" t="s">
        <v>299</v>
      </c>
      <c r="D265" s="28" t="str">
        <f t="shared" si="44"/>
        <v>12/2025</v>
      </c>
      <c r="E265" s="8">
        <v>3361.24</v>
      </c>
      <c r="F265" s="18">
        <v>2.09</v>
      </c>
      <c r="G265" s="9">
        <v>2</v>
      </c>
      <c r="H265" s="10">
        <v>4.7300000000000002E-2</v>
      </c>
      <c r="J265" s="12">
        <f t="shared" ca="1" si="45"/>
        <v>304</v>
      </c>
      <c r="K265" s="13">
        <f t="shared" ca="1" si="46"/>
        <v>10.133333333333333</v>
      </c>
      <c r="L265" s="14">
        <f t="shared" ca="1" si="47"/>
        <v>4145.0456878771365</v>
      </c>
      <c r="M265" s="14">
        <f t="shared" si="48"/>
        <v>67.224800000000002</v>
      </c>
      <c r="N265" s="14">
        <f t="shared" ca="1" si="49"/>
        <v>483.31942207999998</v>
      </c>
      <c r="O265" s="20">
        <f t="shared" ca="1" si="50"/>
        <v>4695.5899099571361</v>
      </c>
      <c r="P265" s="22" t="str">
        <f t="shared" ca="1" si="51"/>
        <v>SIM</v>
      </c>
      <c r="Q265" t="b">
        <f t="shared" ca="1" si="52"/>
        <v>1</v>
      </c>
      <c r="R265" t="str">
        <f t="shared" ca="1" si="53"/>
        <v>SIM</v>
      </c>
      <c r="S265" t="str">
        <f t="shared" ca="1" si="54"/>
        <v>SIM</v>
      </c>
    </row>
    <row r="266" spans="1:19">
      <c r="A266" s="3" t="s">
        <v>653</v>
      </c>
      <c r="B266" s="3" t="s">
        <v>458</v>
      </c>
      <c r="C266" s="28" t="s">
        <v>654</v>
      </c>
      <c r="D266" s="28" t="str">
        <f t="shared" si="44"/>
        <v>11/2025</v>
      </c>
      <c r="E266" s="4">
        <v>2678.11</v>
      </c>
      <c r="F266" s="17">
        <v>2.74</v>
      </c>
      <c r="G266" s="5">
        <v>2</v>
      </c>
      <c r="H266" s="6">
        <v>3.49E-2</v>
      </c>
      <c r="J266" s="12">
        <f t="shared" ca="1" si="45"/>
        <v>356</v>
      </c>
      <c r="K266" s="13">
        <f t="shared" ca="1" si="46"/>
        <v>11.866666666666667</v>
      </c>
      <c r="L266" s="14">
        <f t="shared" ca="1" si="47"/>
        <v>3690.9475434348901</v>
      </c>
      <c r="M266" s="14">
        <f t="shared" si="48"/>
        <v>53.562200000000004</v>
      </c>
      <c r="N266" s="14">
        <f t="shared" ca="1" si="49"/>
        <v>332.73909884000005</v>
      </c>
      <c r="O266" s="20">
        <f t="shared" ca="1" si="50"/>
        <v>4077.2488422748902</v>
      </c>
      <c r="P266" s="22" t="str">
        <f t="shared" ca="1" si="51"/>
        <v>SIM</v>
      </c>
      <c r="Q266" t="b">
        <f t="shared" ca="1" si="52"/>
        <v>1</v>
      </c>
      <c r="R266" t="str">
        <f t="shared" ca="1" si="53"/>
        <v>SIM</v>
      </c>
      <c r="S266" t="str">
        <f t="shared" ca="1" si="54"/>
        <v>SIM</v>
      </c>
    </row>
    <row r="267" spans="1:19">
      <c r="A267" s="7" t="s">
        <v>655</v>
      </c>
      <c r="B267" s="7" t="s">
        <v>656</v>
      </c>
      <c r="C267" s="29" t="s">
        <v>231</v>
      </c>
      <c r="D267" s="28" t="str">
        <f t="shared" si="44"/>
        <v>09/2026</v>
      </c>
      <c r="E267" s="8">
        <v>927.94</v>
      </c>
      <c r="F267" s="18">
        <v>1.67</v>
      </c>
      <c r="G267" s="9">
        <v>2</v>
      </c>
      <c r="H267" s="10">
        <v>3.4799999999999998E-2</v>
      </c>
      <c r="J267" s="12">
        <f t="shared" ca="1" si="45"/>
        <v>53</v>
      </c>
      <c r="K267" s="13">
        <f t="shared" ca="1" si="46"/>
        <v>1.7666666666666666</v>
      </c>
      <c r="L267" s="14">
        <f t="shared" ca="1" si="47"/>
        <v>955.49235714985696</v>
      </c>
      <c r="M267" s="14">
        <f t="shared" si="48"/>
        <v>18.558800000000002</v>
      </c>
      <c r="N267" s="14">
        <f t="shared" ca="1" si="49"/>
        <v>17.114925360000001</v>
      </c>
      <c r="O267" s="20">
        <f t="shared" ca="1" si="50"/>
        <v>991.16608250985701</v>
      </c>
      <c r="P267" s="22" t="str">
        <f t="shared" ca="1" si="51"/>
        <v>NÃO</v>
      </c>
      <c r="Q267" t="b">
        <f t="shared" ca="1" si="52"/>
        <v>1</v>
      </c>
      <c r="R267" t="str">
        <f t="shared" ca="1" si="53"/>
        <v>NÃO</v>
      </c>
      <c r="S267" t="str">
        <f t="shared" ca="1" si="54"/>
        <v>NÃO</v>
      </c>
    </row>
    <row r="268" spans="1:19">
      <c r="A268" s="3" t="s">
        <v>657</v>
      </c>
      <c r="B268" s="3" t="s">
        <v>577</v>
      </c>
      <c r="C268" s="28" t="s">
        <v>142</v>
      </c>
      <c r="D268" s="28" t="str">
        <f t="shared" si="44"/>
        <v>07/2025</v>
      </c>
      <c r="E268" s="4">
        <v>3150.27</v>
      </c>
      <c r="F268" s="17">
        <v>2.5099999999999998</v>
      </c>
      <c r="G268" s="5">
        <v>2</v>
      </c>
      <c r="H268" s="6">
        <v>3.32E-2</v>
      </c>
      <c r="J268" s="12">
        <f t="shared" ca="1" si="45"/>
        <v>477</v>
      </c>
      <c r="K268" s="13">
        <f t="shared" ca="1" si="46"/>
        <v>15.9</v>
      </c>
      <c r="L268" s="14">
        <f t="shared" ca="1" si="47"/>
        <v>4672.3018301010397</v>
      </c>
      <c r="M268" s="14">
        <f t="shared" si="48"/>
        <v>63.005400000000002</v>
      </c>
      <c r="N268" s="14">
        <f t="shared" ca="1" si="49"/>
        <v>498.88935827999995</v>
      </c>
      <c r="O268" s="20">
        <f t="shared" ca="1" si="50"/>
        <v>5234.1965883810399</v>
      </c>
      <c r="P268" s="22" t="str">
        <f t="shared" ca="1" si="51"/>
        <v>SIM</v>
      </c>
      <c r="Q268" t="b">
        <f t="shared" ca="1" si="52"/>
        <v>1</v>
      </c>
      <c r="R268" t="str">
        <f t="shared" ca="1" si="53"/>
        <v>SIM</v>
      </c>
      <c r="S268" t="str">
        <f t="shared" ca="1" si="54"/>
        <v>SIM</v>
      </c>
    </row>
    <row r="269" spans="1:19">
      <c r="A269" s="7" t="s">
        <v>658</v>
      </c>
      <c r="B269" s="7" t="s">
        <v>584</v>
      </c>
      <c r="C269" s="29" t="s">
        <v>659</v>
      </c>
      <c r="D269" s="28" t="str">
        <f t="shared" si="44"/>
        <v>08/2026</v>
      </c>
      <c r="E269" s="8">
        <v>2407.5300000000002</v>
      </c>
      <c r="F269" s="18">
        <v>2.76</v>
      </c>
      <c r="G269" s="9">
        <v>2</v>
      </c>
      <c r="H269" s="10">
        <v>3.0099999999999998E-2</v>
      </c>
      <c r="J269" s="12">
        <f t="shared" ca="1" si="45"/>
        <v>68</v>
      </c>
      <c r="K269" s="13">
        <f t="shared" ca="1" si="46"/>
        <v>2.2666666666666666</v>
      </c>
      <c r="L269" s="14">
        <f t="shared" ca="1" si="47"/>
        <v>2560.7842549857878</v>
      </c>
      <c r="M269" s="14">
        <f t="shared" si="48"/>
        <v>48.150600000000004</v>
      </c>
      <c r="N269" s="14">
        <f t="shared" ca="1" si="49"/>
        <v>49.277324040000003</v>
      </c>
      <c r="O269" s="20">
        <f t="shared" ca="1" si="50"/>
        <v>2658.2121790257879</v>
      </c>
      <c r="P269" s="22" t="str">
        <f t="shared" ca="1" si="51"/>
        <v>NÃO</v>
      </c>
      <c r="Q269" t="b">
        <f t="shared" ca="1" si="52"/>
        <v>1</v>
      </c>
      <c r="R269" t="str">
        <f t="shared" ca="1" si="53"/>
        <v>NÃO</v>
      </c>
      <c r="S269" t="str">
        <f t="shared" ca="1" si="54"/>
        <v>NÃO</v>
      </c>
    </row>
    <row r="270" spans="1:19">
      <c r="A270" s="3" t="s">
        <v>660</v>
      </c>
      <c r="B270" s="3" t="s">
        <v>124</v>
      </c>
      <c r="C270" s="28" t="s">
        <v>151</v>
      </c>
      <c r="D270" s="28" t="str">
        <f t="shared" si="44"/>
        <v>02/2026</v>
      </c>
      <c r="E270" s="4">
        <v>3756.02</v>
      </c>
      <c r="F270" s="17">
        <v>1.32</v>
      </c>
      <c r="G270" s="5">
        <v>2</v>
      </c>
      <c r="H270" s="6">
        <v>4.6399999999999997E-2</v>
      </c>
      <c r="J270" s="12">
        <f t="shared" ca="1" si="45"/>
        <v>267</v>
      </c>
      <c r="K270" s="13">
        <f t="shared" ca="1" si="46"/>
        <v>8.9</v>
      </c>
      <c r="L270" s="14">
        <f t="shared" ca="1" si="47"/>
        <v>4220.9966558677288</v>
      </c>
      <c r="M270" s="14">
        <f t="shared" si="48"/>
        <v>75.120400000000004</v>
      </c>
      <c r="N270" s="14">
        <f t="shared" ca="1" si="49"/>
        <v>465.32580575999998</v>
      </c>
      <c r="O270" s="20">
        <f t="shared" ca="1" si="50"/>
        <v>4761.4428616277282</v>
      </c>
      <c r="P270" s="22" t="str">
        <f t="shared" ca="1" si="51"/>
        <v>SIM</v>
      </c>
      <c r="Q270" t="b">
        <f t="shared" ca="1" si="52"/>
        <v>1</v>
      </c>
      <c r="R270" t="str">
        <f t="shared" ca="1" si="53"/>
        <v>SIM</v>
      </c>
      <c r="S270" t="str">
        <f t="shared" ca="1" si="54"/>
        <v>SIM</v>
      </c>
    </row>
    <row r="271" spans="1:19">
      <c r="A271" s="7" t="s">
        <v>661</v>
      </c>
      <c r="B271" s="7" t="s">
        <v>28</v>
      </c>
      <c r="C271" s="29" t="s">
        <v>662</v>
      </c>
      <c r="D271" s="28" t="str">
        <f t="shared" si="44"/>
        <v>09/2026</v>
      </c>
      <c r="E271" s="8">
        <v>1404.64</v>
      </c>
      <c r="F271" s="18">
        <v>1.39</v>
      </c>
      <c r="G271" s="9">
        <v>2</v>
      </c>
      <c r="H271" s="10">
        <v>3.1699999999999999E-2</v>
      </c>
      <c r="J271" s="12">
        <f t="shared" ca="1" si="45"/>
        <v>33</v>
      </c>
      <c r="K271" s="13">
        <f t="shared" ca="1" si="46"/>
        <v>1.1000000000000001</v>
      </c>
      <c r="L271" s="14">
        <f t="shared" ca="1" si="47"/>
        <v>1426.1318102414609</v>
      </c>
      <c r="M271" s="14">
        <f t="shared" si="48"/>
        <v>28.0928</v>
      </c>
      <c r="N271" s="14">
        <f t="shared" ca="1" si="49"/>
        <v>14.69393904</v>
      </c>
      <c r="O271" s="20">
        <f t="shared" ca="1" si="50"/>
        <v>1468.9185492814609</v>
      </c>
      <c r="P271" s="22" t="str">
        <f t="shared" ca="1" si="51"/>
        <v>NÃO</v>
      </c>
      <c r="Q271" t="b">
        <f t="shared" ca="1" si="52"/>
        <v>1</v>
      </c>
      <c r="R271" t="str">
        <f t="shared" ca="1" si="53"/>
        <v>NÃO</v>
      </c>
      <c r="S271" t="str">
        <f t="shared" ca="1" si="54"/>
        <v>NÃO</v>
      </c>
    </row>
    <row r="272" spans="1:19">
      <c r="A272" s="3" t="s">
        <v>663</v>
      </c>
      <c r="B272" s="3" t="s">
        <v>424</v>
      </c>
      <c r="C272" s="28" t="s">
        <v>651</v>
      </c>
      <c r="D272" s="28" t="str">
        <f t="shared" si="44"/>
        <v>05/2025</v>
      </c>
      <c r="E272" s="4">
        <v>3214.3</v>
      </c>
      <c r="F272" s="17">
        <v>1.52</v>
      </c>
      <c r="G272" s="5">
        <v>2</v>
      </c>
      <c r="H272" s="6">
        <v>4.2700000000000002E-2</v>
      </c>
      <c r="J272" s="12">
        <f t="shared" ca="1" si="45"/>
        <v>529</v>
      </c>
      <c r="K272" s="13">
        <f t="shared" ca="1" si="46"/>
        <v>17.633333333333333</v>
      </c>
      <c r="L272" s="14">
        <f t="shared" ca="1" si="47"/>
        <v>4193.8521441765342</v>
      </c>
      <c r="M272" s="14">
        <f t="shared" si="48"/>
        <v>64.286000000000001</v>
      </c>
      <c r="N272" s="14">
        <f t="shared" ca="1" si="49"/>
        <v>726.0557269000002</v>
      </c>
      <c r="O272" s="20">
        <f t="shared" ca="1" si="50"/>
        <v>4984.1938710765344</v>
      </c>
      <c r="P272" s="22" t="str">
        <f t="shared" ca="1" si="51"/>
        <v>SIM</v>
      </c>
      <c r="Q272" t="b">
        <f t="shared" ca="1" si="52"/>
        <v>1</v>
      </c>
      <c r="R272" t="str">
        <f t="shared" ca="1" si="53"/>
        <v>SIM</v>
      </c>
      <c r="S272" t="str">
        <f t="shared" ca="1" si="54"/>
        <v>SIM</v>
      </c>
    </row>
    <row r="273" spans="1:19">
      <c r="A273" s="7" t="s">
        <v>664</v>
      </c>
      <c r="B273" s="7" t="s">
        <v>665</v>
      </c>
      <c r="C273" s="29" t="s">
        <v>300</v>
      </c>
      <c r="D273" s="28" t="str">
        <f t="shared" si="44"/>
        <v>01/2026</v>
      </c>
      <c r="E273" s="8">
        <v>772.98</v>
      </c>
      <c r="F273" s="18">
        <v>1.57</v>
      </c>
      <c r="G273" s="9">
        <v>2</v>
      </c>
      <c r="H273" s="10">
        <v>3.04E-2</v>
      </c>
      <c r="J273" s="12">
        <f t="shared" ca="1" si="45"/>
        <v>283</v>
      </c>
      <c r="K273" s="13">
        <f t="shared" ca="1" si="46"/>
        <v>9.4333333333333336</v>
      </c>
      <c r="L273" s="14">
        <f t="shared" ca="1" si="47"/>
        <v>895.34213981895107</v>
      </c>
      <c r="M273" s="14">
        <f t="shared" si="48"/>
        <v>15.4596</v>
      </c>
      <c r="N273" s="14">
        <f t="shared" ca="1" si="49"/>
        <v>66.501015360000011</v>
      </c>
      <c r="O273" s="20">
        <f t="shared" ca="1" si="50"/>
        <v>977.30275517895109</v>
      </c>
      <c r="P273" s="22" t="str">
        <f t="shared" ca="1" si="51"/>
        <v>SIM</v>
      </c>
      <c r="Q273" t="b">
        <f t="shared" ca="1" si="52"/>
        <v>1</v>
      </c>
      <c r="R273" t="str">
        <f t="shared" ca="1" si="53"/>
        <v>SIM</v>
      </c>
      <c r="S273" t="str">
        <f t="shared" ca="1" si="54"/>
        <v>SIM</v>
      </c>
    </row>
    <row r="274" spans="1:19">
      <c r="A274" s="3" t="s">
        <v>666</v>
      </c>
      <c r="B274" s="3" t="s">
        <v>303</v>
      </c>
      <c r="C274" s="28" t="s">
        <v>387</v>
      </c>
      <c r="D274" s="28" t="str">
        <f t="shared" si="44"/>
        <v>09/2025</v>
      </c>
      <c r="E274" s="4">
        <v>1808.08</v>
      </c>
      <c r="F274" s="17">
        <v>2.27</v>
      </c>
      <c r="G274" s="5">
        <v>2</v>
      </c>
      <c r="H274" s="6">
        <v>4.8599999999999997E-2</v>
      </c>
      <c r="J274" s="12">
        <f t="shared" ca="1" si="45"/>
        <v>416</v>
      </c>
      <c r="K274" s="13">
        <f t="shared" ca="1" si="46"/>
        <v>13.866666666666667</v>
      </c>
      <c r="L274" s="14">
        <f t="shared" ca="1" si="47"/>
        <v>2468.2745091273505</v>
      </c>
      <c r="M274" s="14">
        <f t="shared" si="48"/>
        <v>36.1616</v>
      </c>
      <c r="N274" s="14">
        <f t="shared" ca="1" si="49"/>
        <v>365.55038208000002</v>
      </c>
      <c r="O274" s="20">
        <f t="shared" ca="1" si="50"/>
        <v>2869.9864912073504</v>
      </c>
      <c r="P274" s="22" t="str">
        <f t="shared" ca="1" si="51"/>
        <v>SIM</v>
      </c>
      <c r="Q274" t="b">
        <f t="shared" ca="1" si="52"/>
        <v>1</v>
      </c>
      <c r="R274" t="str">
        <f t="shared" ca="1" si="53"/>
        <v>SIM</v>
      </c>
      <c r="S274" t="str">
        <f t="shared" ca="1" si="54"/>
        <v>SIM</v>
      </c>
    </row>
    <row r="275" spans="1:19">
      <c r="A275" s="7" t="s">
        <v>667</v>
      </c>
      <c r="B275" s="7" t="s">
        <v>388</v>
      </c>
      <c r="C275" s="29" t="s">
        <v>668</v>
      </c>
      <c r="D275" s="28" t="str">
        <f t="shared" si="44"/>
        <v>10/2025</v>
      </c>
      <c r="E275" s="8">
        <v>992.7</v>
      </c>
      <c r="F275" s="18">
        <v>2.54</v>
      </c>
      <c r="G275" s="9">
        <v>2</v>
      </c>
      <c r="H275" s="10">
        <v>4.8899999999999999E-2</v>
      </c>
      <c r="J275" s="12">
        <f t="shared" ca="1" si="45"/>
        <v>369</v>
      </c>
      <c r="K275" s="13">
        <f t="shared" ca="1" si="46"/>
        <v>12.3</v>
      </c>
      <c r="L275" s="14">
        <f t="shared" ca="1" si="47"/>
        <v>1351.4680190216045</v>
      </c>
      <c r="M275" s="14">
        <f t="shared" si="48"/>
        <v>19.853999999999999</v>
      </c>
      <c r="N275" s="14">
        <f t="shared" ca="1" si="49"/>
        <v>179.12378070000003</v>
      </c>
      <c r="O275" s="20">
        <f t="shared" ca="1" si="50"/>
        <v>1550.4457997216045</v>
      </c>
      <c r="P275" s="22" t="str">
        <f t="shared" ca="1" si="51"/>
        <v>SIM</v>
      </c>
      <c r="Q275" t="b">
        <f t="shared" ca="1" si="52"/>
        <v>1</v>
      </c>
      <c r="R275" t="str">
        <f t="shared" ca="1" si="53"/>
        <v>SIM</v>
      </c>
      <c r="S275" t="str">
        <f t="shared" ca="1" si="54"/>
        <v>SIM</v>
      </c>
    </row>
    <row r="276" spans="1:19">
      <c r="A276" s="3" t="s">
        <v>669</v>
      </c>
      <c r="B276" s="3" t="s">
        <v>285</v>
      </c>
      <c r="C276" s="28" t="s">
        <v>416</v>
      </c>
      <c r="D276" s="28" t="str">
        <f t="shared" si="44"/>
        <v>08/2025</v>
      </c>
      <c r="E276" s="4">
        <v>3889.27</v>
      </c>
      <c r="F276" s="17">
        <v>2.42</v>
      </c>
      <c r="G276" s="5">
        <v>2</v>
      </c>
      <c r="H276" s="6">
        <v>3.95E-2</v>
      </c>
      <c r="J276" s="12">
        <f t="shared" ca="1" si="45"/>
        <v>442</v>
      </c>
      <c r="K276" s="13">
        <f t="shared" ca="1" si="46"/>
        <v>14.733333333333333</v>
      </c>
      <c r="L276" s="14">
        <f t="shared" ca="1" si="47"/>
        <v>5531.8499791619934</v>
      </c>
      <c r="M276" s="14">
        <f t="shared" si="48"/>
        <v>77.785399999999996</v>
      </c>
      <c r="N276" s="14">
        <f t="shared" ca="1" si="49"/>
        <v>679.02764930000012</v>
      </c>
      <c r="O276" s="20">
        <f t="shared" ca="1" si="50"/>
        <v>6288.6630284619932</v>
      </c>
      <c r="P276" s="22" t="str">
        <f t="shared" ca="1" si="51"/>
        <v>SIM</v>
      </c>
      <c r="Q276" t="b">
        <f t="shared" ca="1" si="52"/>
        <v>1</v>
      </c>
      <c r="R276" t="str">
        <f t="shared" ca="1" si="53"/>
        <v>SIM</v>
      </c>
      <c r="S276" t="str">
        <f t="shared" ca="1" si="54"/>
        <v>SIM</v>
      </c>
    </row>
    <row r="277" spans="1:19">
      <c r="A277" s="7" t="s">
        <v>670</v>
      </c>
      <c r="B277" s="7" t="s">
        <v>671</v>
      </c>
      <c r="C277" s="29" t="s">
        <v>672</v>
      </c>
      <c r="D277" s="28" t="str">
        <f t="shared" si="44"/>
        <v>03/2025</v>
      </c>
      <c r="E277" s="8">
        <v>512.27</v>
      </c>
      <c r="F277" s="18">
        <v>2.7</v>
      </c>
      <c r="G277" s="9">
        <v>2</v>
      </c>
      <c r="H277" s="10">
        <v>4.9799999999999997E-2</v>
      </c>
      <c r="J277" s="12">
        <f t="shared" ca="1" si="45"/>
        <v>603</v>
      </c>
      <c r="K277" s="13">
        <f t="shared" ca="1" si="46"/>
        <v>20.100000000000001</v>
      </c>
      <c r="L277" s="14">
        <f t="shared" ca="1" si="47"/>
        <v>875.11441850610174</v>
      </c>
      <c r="M277" s="14">
        <f t="shared" si="48"/>
        <v>10.2454</v>
      </c>
      <c r="N277" s="14">
        <f t="shared" ca="1" si="49"/>
        <v>153.83160737999998</v>
      </c>
      <c r="O277" s="20">
        <f t="shared" ca="1" si="50"/>
        <v>1039.1914258861018</v>
      </c>
      <c r="P277" s="22" t="str">
        <f t="shared" ca="1" si="51"/>
        <v>SIM</v>
      </c>
      <c r="Q277" t="b">
        <f t="shared" ca="1" si="52"/>
        <v>1</v>
      </c>
      <c r="R277" t="str">
        <f t="shared" ca="1" si="53"/>
        <v>SIM</v>
      </c>
      <c r="S277" t="str">
        <f t="shared" ca="1" si="54"/>
        <v>SIM</v>
      </c>
    </row>
    <row r="278" spans="1:19">
      <c r="A278" s="3" t="s">
        <v>673</v>
      </c>
      <c r="B278" s="3" t="s">
        <v>226</v>
      </c>
      <c r="C278" s="28" t="s">
        <v>674</v>
      </c>
      <c r="D278" s="28" t="str">
        <f t="shared" si="44"/>
        <v>11/2025</v>
      </c>
      <c r="E278" s="4">
        <v>3785.81</v>
      </c>
      <c r="F278" s="17">
        <v>1.26</v>
      </c>
      <c r="G278" s="5">
        <v>2</v>
      </c>
      <c r="H278" s="6">
        <v>4.5199999999999997E-2</v>
      </c>
      <c r="J278" s="12">
        <f t="shared" ca="1" si="45"/>
        <v>354</v>
      </c>
      <c r="K278" s="13">
        <f t="shared" ca="1" si="46"/>
        <v>11.8</v>
      </c>
      <c r="L278" s="14">
        <f t="shared" ca="1" si="47"/>
        <v>4388.6031051542159</v>
      </c>
      <c r="M278" s="14">
        <f t="shared" si="48"/>
        <v>75.716200000000001</v>
      </c>
      <c r="N278" s="14">
        <f t="shared" ca="1" si="49"/>
        <v>605.75988647999998</v>
      </c>
      <c r="O278" s="20">
        <f t="shared" ca="1" si="50"/>
        <v>5070.0791916342159</v>
      </c>
      <c r="P278" s="22" t="str">
        <f t="shared" ca="1" si="51"/>
        <v>SIM</v>
      </c>
      <c r="Q278" t="b">
        <f t="shared" ca="1" si="52"/>
        <v>1</v>
      </c>
      <c r="R278" t="str">
        <f t="shared" ca="1" si="53"/>
        <v>SIM</v>
      </c>
      <c r="S278" t="str">
        <f t="shared" ca="1" si="54"/>
        <v>SIM</v>
      </c>
    </row>
    <row r="279" spans="1:19">
      <c r="A279" s="7" t="s">
        <v>675</v>
      </c>
      <c r="B279" s="7" t="s">
        <v>530</v>
      </c>
      <c r="C279" s="29" t="s">
        <v>266</v>
      </c>
      <c r="D279" s="28" t="str">
        <f t="shared" si="44"/>
        <v>02/2025</v>
      </c>
      <c r="E279" s="8">
        <v>257.3</v>
      </c>
      <c r="F279" s="18">
        <v>1.65</v>
      </c>
      <c r="G279" s="9">
        <v>2</v>
      </c>
      <c r="H279" s="10">
        <v>3.9800000000000002E-2</v>
      </c>
      <c r="J279" s="12">
        <f t="shared" ca="1" si="45"/>
        <v>615</v>
      </c>
      <c r="K279" s="13">
        <f t="shared" ca="1" si="46"/>
        <v>20.5</v>
      </c>
      <c r="L279" s="14">
        <f t="shared" ca="1" si="47"/>
        <v>359.86626562441455</v>
      </c>
      <c r="M279" s="14">
        <f t="shared" si="48"/>
        <v>5.1459999999999999</v>
      </c>
      <c r="N279" s="14">
        <f t="shared" ca="1" si="49"/>
        <v>62.979321000000006</v>
      </c>
      <c r="O279" s="20">
        <f t="shared" ca="1" si="50"/>
        <v>427.99158662441459</v>
      </c>
      <c r="P279" s="22" t="str">
        <f t="shared" ca="1" si="51"/>
        <v>SIM</v>
      </c>
      <c r="Q279" t="b">
        <f t="shared" ca="1" si="52"/>
        <v>1</v>
      </c>
      <c r="R279" t="str">
        <f t="shared" ca="1" si="53"/>
        <v>SIM</v>
      </c>
      <c r="S279" t="str">
        <f t="shared" ca="1" si="54"/>
        <v>SIM</v>
      </c>
    </row>
    <row r="280" spans="1:19">
      <c r="A280" s="3" t="s">
        <v>676</v>
      </c>
      <c r="B280" s="3" t="s">
        <v>677</v>
      </c>
      <c r="C280" s="28" t="s">
        <v>59</v>
      </c>
      <c r="D280" s="28" t="str">
        <f t="shared" si="44"/>
        <v>05/2026</v>
      </c>
      <c r="E280" s="4">
        <v>154.99</v>
      </c>
      <c r="F280" s="17">
        <v>1.32</v>
      </c>
      <c r="G280" s="5">
        <v>2</v>
      </c>
      <c r="H280" s="6">
        <v>3.9399999999999998E-2</v>
      </c>
      <c r="J280" s="12">
        <f t="shared" ca="1" si="45"/>
        <v>166</v>
      </c>
      <c r="K280" s="13">
        <f t="shared" ca="1" si="46"/>
        <v>5.5333333333333332</v>
      </c>
      <c r="L280" s="14">
        <f t="shared" ca="1" si="47"/>
        <v>166.6544880382005</v>
      </c>
      <c r="M280" s="14">
        <f t="shared" si="48"/>
        <v>3.0998000000000001</v>
      </c>
      <c r="N280" s="14">
        <f t="shared" ca="1" si="49"/>
        <v>10.136965960000001</v>
      </c>
      <c r="O280" s="20">
        <f t="shared" ca="1" si="50"/>
        <v>179.89125399820048</v>
      </c>
      <c r="P280" s="22" t="str">
        <f t="shared" ca="1" si="51"/>
        <v>SIM</v>
      </c>
      <c r="Q280" t="b">
        <f t="shared" ca="1" si="52"/>
        <v>0</v>
      </c>
      <c r="R280" t="str">
        <f t="shared" ca="1" si="53"/>
        <v>NÃO</v>
      </c>
      <c r="S280" t="str">
        <f t="shared" ca="1" si="54"/>
        <v>SIM</v>
      </c>
    </row>
    <row r="281" spans="1:19">
      <c r="A281" s="7" t="s">
        <v>678</v>
      </c>
      <c r="B281" s="7" t="s">
        <v>164</v>
      </c>
      <c r="C281" s="29" t="s">
        <v>68</v>
      </c>
      <c r="D281" s="28" t="str">
        <f t="shared" si="44"/>
        <v>07/2026</v>
      </c>
      <c r="E281" s="8">
        <v>645.64</v>
      </c>
      <c r="F281" s="18">
        <v>2.71</v>
      </c>
      <c r="G281" s="9">
        <v>2</v>
      </c>
      <c r="H281" s="10">
        <v>4.0500000000000001E-2</v>
      </c>
      <c r="J281" s="12">
        <f t="shared" ca="1" si="45"/>
        <v>118</v>
      </c>
      <c r="K281" s="13">
        <f t="shared" ca="1" si="46"/>
        <v>3.9333333333333331</v>
      </c>
      <c r="L281" s="14">
        <f t="shared" ca="1" si="47"/>
        <v>717.24439614007406</v>
      </c>
      <c r="M281" s="14">
        <f t="shared" si="48"/>
        <v>12.912799999999999</v>
      </c>
      <c r="N281" s="14">
        <f t="shared" ca="1" si="49"/>
        <v>30.855135600000001</v>
      </c>
      <c r="O281" s="20">
        <f t="shared" ca="1" si="50"/>
        <v>761.01233174007405</v>
      </c>
      <c r="P281" s="22" t="str">
        <f t="shared" ca="1" si="51"/>
        <v>SIM</v>
      </c>
      <c r="Q281" t="b">
        <f t="shared" ca="1" si="52"/>
        <v>1</v>
      </c>
      <c r="R281" t="str">
        <f t="shared" ca="1" si="53"/>
        <v>SIM</v>
      </c>
      <c r="S281" t="str">
        <f t="shared" ca="1" si="54"/>
        <v>SIM</v>
      </c>
    </row>
    <row r="282" spans="1:19">
      <c r="A282" s="3" t="s">
        <v>679</v>
      </c>
      <c r="B282" s="3" t="s">
        <v>426</v>
      </c>
      <c r="C282" s="28" t="s">
        <v>488</v>
      </c>
      <c r="D282" s="28" t="str">
        <f t="shared" si="44"/>
        <v>07/2025</v>
      </c>
      <c r="E282" s="4">
        <v>1220.73</v>
      </c>
      <c r="F282" s="17">
        <v>1.1599999999999999</v>
      </c>
      <c r="G282" s="5">
        <v>2</v>
      </c>
      <c r="H282" s="6">
        <v>4.36E-2</v>
      </c>
      <c r="J282" s="12">
        <f t="shared" ca="1" si="45"/>
        <v>483</v>
      </c>
      <c r="K282" s="13">
        <f t="shared" ca="1" si="46"/>
        <v>16.100000000000001</v>
      </c>
      <c r="L282" s="14">
        <f t="shared" ca="1" si="47"/>
        <v>1469.811464399533</v>
      </c>
      <c r="M282" s="14">
        <f t="shared" si="48"/>
        <v>24.4146</v>
      </c>
      <c r="N282" s="14">
        <f t="shared" ca="1" si="49"/>
        <v>257.07108923999999</v>
      </c>
      <c r="O282" s="20">
        <f t="shared" ca="1" si="50"/>
        <v>1751.297153639533</v>
      </c>
      <c r="P282" s="22" t="str">
        <f t="shared" ca="1" si="51"/>
        <v>SIM</v>
      </c>
      <c r="Q282" t="b">
        <f t="shared" ca="1" si="52"/>
        <v>1</v>
      </c>
      <c r="R282" t="str">
        <f t="shared" ca="1" si="53"/>
        <v>SIM</v>
      </c>
      <c r="S282" t="str">
        <f t="shared" ca="1" si="54"/>
        <v>SIM</v>
      </c>
    </row>
    <row r="283" spans="1:19">
      <c r="A283" s="7" t="s">
        <v>680</v>
      </c>
      <c r="B283" s="7" t="s">
        <v>671</v>
      </c>
      <c r="C283" s="29" t="s">
        <v>205</v>
      </c>
      <c r="D283" s="28" t="str">
        <f t="shared" si="44"/>
        <v>02/2025</v>
      </c>
      <c r="E283" s="8">
        <v>1475.31</v>
      </c>
      <c r="F283" s="18">
        <v>2.9</v>
      </c>
      <c r="G283" s="9">
        <v>2</v>
      </c>
      <c r="H283" s="10">
        <v>3.3000000000000002E-2</v>
      </c>
      <c r="J283" s="12">
        <f t="shared" ca="1" si="45"/>
        <v>618</v>
      </c>
      <c r="K283" s="13">
        <f t="shared" ca="1" si="46"/>
        <v>20.6</v>
      </c>
      <c r="L283" s="14">
        <f t="shared" ca="1" si="47"/>
        <v>2658.5204556090239</v>
      </c>
      <c r="M283" s="14">
        <f t="shared" si="48"/>
        <v>29.5062</v>
      </c>
      <c r="N283" s="14">
        <f t="shared" ca="1" si="49"/>
        <v>300.8747214</v>
      </c>
      <c r="O283" s="20">
        <f t="shared" ca="1" si="50"/>
        <v>2988.9013770090237</v>
      </c>
      <c r="P283" s="22" t="str">
        <f t="shared" ca="1" si="51"/>
        <v>SIM</v>
      </c>
      <c r="Q283" t="b">
        <f t="shared" ca="1" si="52"/>
        <v>1</v>
      </c>
      <c r="R283" t="str">
        <f t="shared" ca="1" si="53"/>
        <v>SIM</v>
      </c>
      <c r="S283" t="str">
        <f t="shared" ca="1" si="54"/>
        <v>SIM</v>
      </c>
    </row>
    <row r="284" spans="1:19">
      <c r="A284" s="3" t="s">
        <v>681</v>
      </c>
      <c r="B284" s="3" t="s">
        <v>211</v>
      </c>
      <c r="C284" s="28" t="s">
        <v>682</v>
      </c>
      <c r="D284" s="28" t="str">
        <f t="shared" si="44"/>
        <v>10/2026</v>
      </c>
      <c r="E284" s="4">
        <v>4726.54</v>
      </c>
      <c r="F284" s="17">
        <v>1.84</v>
      </c>
      <c r="G284" s="5">
        <v>2</v>
      </c>
      <c r="H284" s="6">
        <v>4.2799999999999998E-2</v>
      </c>
      <c r="J284" s="12">
        <f t="shared" ca="1" si="45"/>
        <v>18</v>
      </c>
      <c r="K284" s="13">
        <f t="shared" ca="1" si="46"/>
        <v>0.6</v>
      </c>
      <c r="L284" s="14">
        <f t="shared" ca="1" si="47"/>
        <v>4778.5306063993758</v>
      </c>
      <c r="M284" s="14">
        <f t="shared" si="48"/>
        <v>94.530799999999999</v>
      </c>
      <c r="N284" s="14">
        <f t="shared" ca="1" si="49"/>
        <v>36.413264159999997</v>
      </c>
      <c r="O284" s="20">
        <f t="shared" ca="1" si="50"/>
        <v>4909.4746705593761</v>
      </c>
      <c r="P284" s="22" t="str">
        <f t="shared" ca="1" si="51"/>
        <v>NÃO</v>
      </c>
      <c r="Q284" t="b">
        <f t="shared" ca="1" si="52"/>
        <v>1</v>
      </c>
      <c r="R284" t="str">
        <f t="shared" ca="1" si="53"/>
        <v>NÃO</v>
      </c>
      <c r="S284" t="str">
        <f t="shared" ca="1" si="54"/>
        <v>NÃO</v>
      </c>
    </row>
    <row r="285" spans="1:19">
      <c r="A285" s="7" t="s">
        <v>683</v>
      </c>
      <c r="B285" s="7" t="s">
        <v>113</v>
      </c>
      <c r="C285" s="29" t="s">
        <v>157</v>
      </c>
      <c r="D285" s="28" t="str">
        <f t="shared" si="44"/>
        <v>04/2026</v>
      </c>
      <c r="E285" s="8">
        <v>1662.97</v>
      </c>
      <c r="F285" s="18">
        <v>1.64</v>
      </c>
      <c r="G285" s="9">
        <v>2</v>
      </c>
      <c r="H285" s="10">
        <v>4.4499999999999998E-2</v>
      </c>
      <c r="J285" s="12">
        <f t="shared" ca="1" si="45"/>
        <v>195</v>
      </c>
      <c r="K285" s="13">
        <f t="shared" ca="1" si="46"/>
        <v>6.5</v>
      </c>
      <c r="L285" s="14">
        <f t="shared" ca="1" si="47"/>
        <v>1848.4371187621337</v>
      </c>
      <c r="M285" s="14">
        <f t="shared" si="48"/>
        <v>33.259399999999999</v>
      </c>
      <c r="N285" s="14">
        <f t="shared" ca="1" si="49"/>
        <v>144.30422174999998</v>
      </c>
      <c r="O285" s="20">
        <f t="shared" ca="1" si="50"/>
        <v>2026.0007405121335</v>
      </c>
      <c r="P285" s="22" t="str">
        <f t="shared" ca="1" si="51"/>
        <v>SIM</v>
      </c>
      <c r="Q285" t="b">
        <f t="shared" ca="1" si="52"/>
        <v>1</v>
      </c>
      <c r="R285" t="str">
        <f t="shared" ca="1" si="53"/>
        <v>SIM</v>
      </c>
      <c r="S285" t="str">
        <f t="shared" ca="1" si="54"/>
        <v>SIM</v>
      </c>
    </row>
    <row r="286" spans="1:19">
      <c r="A286" s="3" t="s">
        <v>684</v>
      </c>
      <c r="B286" s="3" t="s">
        <v>516</v>
      </c>
      <c r="C286" s="28" t="s">
        <v>685</v>
      </c>
      <c r="D286" s="28" t="str">
        <f t="shared" si="44"/>
        <v>07/2025</v>
      </c>
      <c r="E286" s="4">
        <v>1121.74</v>
      </c>
      <c r="F286" s="17">
        <v>2.74</v>
      </c>
      <c r="G286" s="5">
        <v>2</v>
      </c>
      <c r="H286" s="6">
        <v>4.4299999999999999E-2</v>
      </c>
      <c r="J286" s="12">
        <f t="shared" ca="1" si="45"/>
        <v>460</v>
      </c>
      <c r="K286" s="13">
        <f t="shared" ca="1" si="46"/>
        <v>15.333333333333334</v>
      </c>
      <c r="L286" s="14">
        <f t="shared" ca="1" si="47"/>
        <v>1697.8480280219203</v>
      </c>
      <c r="M286" s="14">
        <f t="shared" si="48"/>
        <v>22.434799999999999</v>
      </c>
      <c r="N286" s="14">
        <f t="shared" ca="1" si="49"/>
        <v>228.58817719999999</v>
      </c>
      <c r="O286" s="20">
        <f t="shared" ca="1" si="50"/>
        <v>1948.8710052219203</v>
      </c>
      <c r="P286" s="22" t="str">
        <f t="shared" ca="1" si="51"/>
        <v>SIM</v>
      </c>
      <c r="Q286" t="b">
        <f t="shared" ca="1" si="52"/>
        <v>1</v>
      </c>
      <c r="R286" t="str">
        <f t="shared" ca="1" si="53"/>
        <v>SIM</v>
      </c>
      <c r="S286" t="str">
        <f t="shared" ca="1" si="54"/>
        <v>SIM</v>
      </c>
    </row>
    <row r="287" spans="1:19">
      <c r="A287" s="7" t="s">
        <v>686</v>
      </c>
      <c r="B287" s="7" t="s">
        <v>48</v>
      </c>
      <c r="C287" s="29" t="s">
        <v>590</v>
      </c>
      <c r="D287" s="28" t="str">
        <f t="shared" si="44"/>
        <v>10/2025</v>
      </c>
      <c r="E287" s="8">
        <v>2445.0700000000002</v>
      </c>
      <c r="F287" s="18">
        <v>2.94</v>
      </c>
      <c r="G287" s="9">
        <v>2</v>
      </c>
      <c r="H287" s="10">
        <v>3.3700000000000001E-2</v>
      </c>
      <c r="J287" s="12">
        <f t="shared" ca="1" si="45"/>
        <v>368</v>
      </c>
      <c r="K287" s="13">
        <f t="shared" ca="1" si="46"/>
        <v>12.266666666666667</v>
      </c>
      <c r="L287" s="14">
        <f t="shared" ca="1" si="47"/>
        <v>3488.6471096976902</v>
      </c>
      <c r="M287" s="14">
        <f t="shared" si="48"/>
        <v>48.901400000000002</v>
      </c>
      <c r="N287" s="14">
        <f t="shared" ca="1" si="49"/>
        <v>303.22780111999998</v>
      </c>
      <c r="O287" s="20">
        <f t="shared" ca="1" si="50"/>
        <v>3840.7763108176905</v>
      </c>
      <c r="P287" s="22" t="str">
        <f t="shared" ca="1" si="51"/>
        <v>SIM</v>
      </c>
      <c r="Q287" t="b">
        <f t="shared" ca="1" si="52"/>
        <v>1</v>
      </c>
      <c r="R287" t="str">
        <f t="shared" ca="1" si="53"/>
        <v>SIM</v>
      </c>
      <c r="S287" t="str">
        <f t="shared" ca="1" si="54"/>
        <v>SIM</v>
      </c>
    </row>
    <row r="288" spans="1:19">
      <c r="A288" s="3" t="s">
        <v>687</v>
      </c>
      <c r="B288" s="3" t="s">
        <v>437</v>
      </c>
      <c r="C288" s="28" t="s">
        <v>688</v>
      </c>
      <c r="D288" s="28" t="str">
        <f t="shared" si="44"/>
        <v>10/2026</v>
      </c>
      <c r="E288" s="4">
        <v>895.24</v>
      </c>
      <c r="F288" s="17">
        <v>1.91</v>
      </c>
      <c r="G288" s="5">
        <v>2</v>
      </c>
      <c r="H288" s="6">
        <v>4.0599999999999997E-2</v>
      </c>
      <c r="J288" s="12">
        <f t="shared" ca="1" si="45"/>
        <v>25</v>
      </c>
      <c r="K288" s="13">
        <f t="shared" ca="1" si="46"/>
        <v>0.83333333333333337</v>
      </c>
      <c r="L288" s="14">
        <f t="shared" ca="1" si="47"/>
        <v>909.46672337182383</v>
      </c>
      <c r="M288" s="14">
        <f t="shared" si="48"/>
        <v>17.904800000000002</v>
      </c>
      <c r="N288" s="14">
        <f t="shared" ca="1" si="49"/>
        <v>9.0866860000000003</v>
      </c>
      <c r="O288" s="20">
        <f t="shared" ca="1" si="50"/>
        <v>936.45820937182384</v>
      </c>
      <c r="P288" s="22" t="str">
        <f t="shared" ca="1" si="51"/>
        <v>NÃO</v>
      </c>
      <c r="Q288" t="b">
        <f t="shared" ca="1" si="52"/>
        <v>1</v>
      </c>
      <c r="R288" t="str">
        <f t="shared" ca="1" si="53"/>
        <v>NÃO</v>
      </c>
      <c r="S288" t="str">
        <f t="shared" ca="1" si="54"/>
        <v>NÃO</v>
      </c>
    </row>
    <row r="289" spans="1:19">
      <c r="A289" s="7" t="s">
        <v>689</v>
      </c>
      <c r="B289" s="7" t="s">
        <v>690</v>
      </c>
      <c r="C289" s="29" t="s">
        <v>691</v>
      </c>
      <c r="D289" s="28" t="str">
        <f t="shared" si="44"/>
        <v>08/2025</v>
      </c>
      <c r="E289" s="8">
        <v>4014.47</v>
      </c>
      <c r="F289" s="18">
        <v>1.59</v>
      </c>
      <c r="G289" s="9">
        <v>2</v>
      </c>
      <c r="H289" s="10">
        <v>4.82E-2</v>
      </c>
      <c r="J289" s="12">
        <f t="shared" ca="1" si="45"/>
        <v>449</v>
      </c>
      <c r="K289" s="13">
        <f t="shared" ca="1" si="46"/>
        <v>14.966666666666667</v>
      </c>
      <c r="L289" s="14">
        <f t="shared" ca="1" si="47"/>
        <v>5083.5167199851367</v>
      </c>
      <c r="M289" s="14">
        <f t="shared" si="48"/>
        <v>80.289400000000001</v>
      </c>
      <c r="N289" s="14">
        <f t="shared" ca="1" si="49"/>
        <v>868.80356845999995</v>
      </c>
      <c r="O289" s="20">
        <f t="shared" ca="1" si="50"/>
        <v>6032.6096884451363</v>
      </c>
      <c r="P289" s="22" t="str">
        <f t="shared" ca="1" si="51"/>
        <v>SIM</v>
      </c>
      <c r="Q289" t="b">
        <f t="shared" ca="1" si="52"/>
        <v>1</v>
      </c>
      <c r="R289" t="str">
        <f t="shared" ca="1" si="53"/>
        <v>SIM</v>
      </c>
      <c r="S289" t="str">
        <f t="shared" ca="1" si="54"/>
        <v>SIM</v>
      </c>
    </row>
    <row r="290" spans="1:19">
      <c r="A290" s="3" t="s">
        <v>692</v>
      </c>
      <c r="B290" s="3" t="s">
        <v>485</v>
      </c>
      <c r="C290" s="28" t="s">
        <v>241</v>
      </c>
      <c r="D290" s="28" t="str">
        <f t="shared" si="44"/>
        <v>01/2026</v>
      </c>
      <c r="E290" s="4">
        <v>1049.48</v>
      </c>
      <c r="F290" s="17">
        <v>1.92</v>
      </c>
      <c r="G290" s="5">
        <v>2</v>
      </c>
      <c r="H290" s="6">
        <v>0.03</v>
      </c>
      <c r="J290" s="12">
        <f t="shared" ca="1" si="45"/>
        <v>270</v>
      </c>
      <c r="K290" s="13">
        <f t="shared" ca="1" si="46"/>
        <v>9</v>
      </c>
      <c r="L290" s="14">
        <f t="shared" ca="1" si="47"/>
        <v>1245.4001151608345</v>
      </c>
      <c r="M290" s="14">
        <f t="shared" si="48"/>
        <v>20.989599999999999</v>
      </c>
      <c r="N290" s="14">
        <f t="shared" ca="1" si="49"/>
        <v>85.00788</v>
      </c>
      <c r="O290" s="20">
        <f t="shared" ca="1" si="50"/>
        <v>1351.3975951608345</v>
      </c>
      <c r="P290" s="22" t="str">
        <f t="shared" ca="1" si="51"/>
        <v>SIM</v>
      </c>
      <c r="Q290" t="b">
        <f t="shared" ca="1" si="52"/>
        <v>1</v>
      </c>
      <c r="R290" t="str">
        <f t="shared" ca="1" si="53"/>
        <v>SIM</v>
      </c>
      <c r="S290" t="str">
        <f t="shared" ca="1" si="54"/>
        <v>SIM</v>
      </c>
    </row>
    <row r="291" spans="1:19">
      <c r="A291" s="7" t="s">
        <v>693</v>
      </c>
      <c r="B291" s="7" t="s">
        <v>558</v>
      </c>
      <c r="C291" s="29" t="s">
        <v>522</v>
      </c>
      <c r="D291" s="28" t="str">
        <f t="shared" si="44"/>
        <v>05/2026</v>
      </c>
      <c r="E291" s="8">
        <v>3095.44</v>
      </c>
      <c r="F291" s="18">
        <v>1.5</v>
      </c>
      <c r="G291" s="9">
        <v>2</v>
      </c>
      <c r="H291" s="10">
        <v>4.1200000000000001E-2</v>
      </c>
      <c r="J291" s="12">
        <f t="shared" ca="1" si="45"/>
        <v>179</v>
      </c>
      <c r="K291" s="13">
        <f t="shared" ca="1" si="46"/>
        <v>5.9666666666666668</v>
      </c>
      <c r="L291" s="14">
        <f t="shared" ca="1" si="47"/>
        <v>3383.0086567522444</v>
      </c>
      <c r="M291" s="14">
        <f t="shared" si="48"/>
        <v>61.908799999999999</v>
      </c>
      <c r="N291" s="14">
        <f t="shared" ca="1" si="49"/>
        <v>228.28250911999999</v>
      </c>
      <c r="O291" s="20">
        <f t="shared" ca="1" si="50"/>
        <v>3673.1999658722443</v>
      </c>
      <c r="P291" s="22" t="str">
        <f t="shared" ca="1" si="51"/>
        <v>SIM</v>
      </c>
      <c r="Q291" t="b">
        <f t="shared" ca="1" si="52"/>
        <v>1</v>
      </c>
      <c r="R291" t="str">
        <f t="shared" ca="1" si="53"/>
        <v>SIM</v>
      </c>
      <c r="S291" t="str">
        <f t="shared" ca="1" si="54"/>
        <v>SIM</v>
      </c>
    </row>
    <row r="292" spans="1:19">
      <c r="A292" s="3" t="s">
        <v>694</v>
      </c>
      <c r="B292" s="3" t="s">
        <v>695</v>
      </c>
      <c r="C292" s="28" t="s">
        <v>19</v>
      </c>
      <c r="D292" s="28" t="str">
        <f t="shared" si="44"/>
        <v>06/2026</v>
      </c>
      <c r="E292" s="4">
        <v>3012.78</v>
      </c>
      <c r="F292" s="17">
        <v>1.87</v>
      </c>
      <c r="G292" s="5">
        <v>2</v>
      </c>
      <c r="H292" s="6">
        <v>4.9700000000000001E-2</v>
      </c>
      <c r="J292" s="12">
        <f t="shared" ca="1" si="45"/>
        <v>129</v>
      </c>
      <c r="K292" s="13">
        <f t="shared" ca="1" si="46"/>
        <v>4.3</v>
      </c>
      <c r="L292" s="14">
        <f t="shared" ca="1" si="47"/>
        <v>3262.6203158665458</v>
      </c>
      <c r="M292" s="14">
        <f t="shared" si="48"/>
        <v>60.255600000000001</v>
      </c>
      <c r="N292" s="14">
        <f t="shared" ca="1" si="49"/>
        <v>193.15836414000003</v>
      </c>
      <c r="O292" s="20">
        <f t="shared" ca="1" si="50"/>
        <v>3516.0342800065459</v>
      </c>
      <c r="P292" s="22" t="str">
        <f t="shared" ca="1" si="51"/>
        <v>SIM</v>
      </c>
      <c r="Q292" t="b">
        <f t="shared" ca="1" si="52"/>
        <v>1</v>
      </c>
      <c r="R292" t="str">
        <f t="shared" ca="1" si="53"/>
        <v>SIM</v>
      </c>
      <c r="S292" t="str">
        <f t="shared" ca="1" si="54"/>
        <v>SIM</v>
      </c>
    </row>
    <row r="293" spans="1:19">
      <c r="A293" s="7" t="s">
        <v>696</v>
      </c>
      <c r="B293" s="7" t="s">
        <v>350</v>
      </c>
      <c r="C293" s="29" t="s">
        <v>697</v>
      </c>
      <c r="D293" s="28" t="str">
        <f t="shared" si="44"/>
        <v>04/2025</v>
      </c>
      <c r="E293" s="8">
        <v>501.37</v>
      </c>
      <c r="F293" s="18">
        <v>1.78</v>
      </c>
      <c r="G293" s="9">
        <v>2</v>
      </c>
      <c r="H293" s="10">
        <v>3.9600000000000003E-2</v>
      </c>
      <c r="J293" s="12">
        <f t="shared" ca="1" si="45"/>
        <v>558</v>
      </c>
      <c r="K293" s="13">
        <f t="shared" ca="1" si="46"/>
        <v>18.600000000000001</v>
      </c>
      <c r="L293" s="14">
        <f t="shared" ca="1" si="47"/>
        <v>696.11316859681233</v>
      </c>
      <c r="M293" s="14">
        <f t="shared" si="48"/>
        <v>10.0274</v>
      </c>
      <c r="N293" s="14">
        <f t="shared" ca="1" si="49"/>
        <v>110.78672616000001</v>
      </c>
      <c r="O293" s="20">
        <f t="shared" ca="1" si="50"/>
        <v>816.92729475681233</v>
      </c>
      <c r="P293" s="22" t="str">
        <f t="shared" ca="1" si="51"/>
        <v>SIM</v>
      </c>
      <c r="Q293" t="b">
        <f t="shared" ca="1" si="52"/>
        <v>1</v>
      </c>
      <c r="R293" t="str">
        <f t="shared" ca="1" si="53"/>
        <v>SIM</v>
      </c>
      <c r="S293" t="str">
        <f t="shared" ca="1" si="54"/>
        <v>SIM</v>
      </c>
    </row>
    <row r="294" spans="1:19">
      <c r="A294" s="3" t="s">
        <v>698</v>
      </c>
      <c r="B294" s="3" t="s">
        <v>699</v>
      </c>
      <c r="C294" s="28" t="s">
        <v>232</v>
      </c>
      <c r="D294" s="28" t="str">
        <f t="shared" si="44"/>
        <v>09/2026</v>
      </c>
      <c r="E294" s="4">
        <v>1564.56</v>
      </c>
      <c r="F294" s="17">
        <v>2.39</v>
      </c>
      <c r="G294" s="5">
        <v>2</v>
      </c>
      <c r="H294" s="6">
        <v>4.7199999999999999E-2</v>
      </c>
      <c r="J294" s="12">
        <f t="shared" ca="1" si="45"/>
        <v>38</v>
      </c>
      <c r="K294" s="13">
        <f t="shared" ca="1" si="46"/>
        <v>1.2666666666666666</v>
      </c>
      <c r="L294" s="14">
        <f t="shared" ca="1" si="47"/>
        <v>1612.0745083233298</v>
      </c>
      <c r="M294" s="14">
        <f t="shared" si="48"/>
        <v>31.2912</v>
      </c>
      <c r="N294" s="14">
        <f t="shared" ca="1" si="49"/>
        <v>28.06194816</v>
      </c>
      <c r="O294" s="20">
        <f t="shared" ca="1" si="50"/>
        <v>1671.4276564833297</v>
      </c>
      <c r="P294" s="22" t="str">
        <f t="shared" ca="1" si="51"/>
        <v>NÃO</v>
      </c>
      <c r="Q294" t="b">
        <f t="shared" ca="1" si="52"/>
        <v>1</v>
      </c>
      <c r="R294" t="str">
        <f t="shared" ca="1" si="53"/>
        <v>NÃO</v>
      </c>
      <c r="S294" t="str">
        <f t="shared" ca="1" si="54"/>
        <v>NÃO</v>
      </c>
    </row>
    <row r="295" spans="1:19">
      <c r="A295" s="7" t="s">
        <v>700</v>
      </c>
      <c r="B295" s="7" t="s">
        <v>701</v>
      </c>
      <c r="C295" s="29" t="s">
        <v>702</v>
      </c>
      <c r="D295" s="28" t="str">
        <f t="shared" si="44"/>
        <v>05/2025</v>
      </c>
      <c r="E295" s="8">
        <v>342.15</v>
      </c>
      <c r="F295" s="18">
        <v>1.96</v>
      </c>
      <c r="G295" s="9">
        <v>2</v>
      </c>
      <c r="H295" s="10">
        <v>3.2099999999999997E-2</v>
      </c>
      <c r="J295" s="12">
        <f t="shared" ca="1" si="45"/>
        <v>540</v>
      </c>
      <c r="K295" s="13">
        <f t="shared" ca="1" si="46"/>
        <v>18</v>
      </c>
      <c r="L295" s="14">
        <f t="shared" ca="1" si="47"/>
        <v>485.23646108606511</v>
      </c>
      <c r="M295" s="14">
        <f t="shared" si="48"/>
        <v>6.843</v>
      </c>
      <c r="N295" s="14">
        <f t="shared" ca="1" si="49"/>
        <v>59.308280999999994</v>
      </c>
      <c r="O295" s="20">
        <f t="shared" ca="1" si="50"/>
        <v>551.38774208606515</v>
      </c>
      <c r="P295" s="22" t="str">
        <f t="shared" ca="1" si="51"/>
        <v>SIM</v>
      </c>
      <c r="Q295" t="b">
        <f t="shared" ca="1" si="52"/>
        <v>1</v>
      </c>
      <c r="R295" t="str">
        <f t="shared" ca="1" si="53"/>
        <v>SIM</v>
      </c>
      <c r="S295" t="str">
        <f t="shared" ca="1" si="54"/>
        <v>SIM</v>
      </c>
    </row>
    <row r="296" spans="1:19">
      <c r="A296" s="3" t="s">
        <v>703</v>
      </c>
      <c r="B296" s="3" t="s">
        <v>355</v>
      </c>
      <c r="C296" s="28" t="s">
        <v>704</v>
      </c>
      <c r="D296" s="28" t="str">
        <f t="shared" si="44"/>
        <v>03/2026</v>
      </c>
      <c r="E296" s="4">
        <v>4935.3100000000004</v>
      </c>
      <c r="F296" s="17">
        <v>1.28</v>
      </c>
      <c r="G296" s="5">
        <v>2</v>
      </c>
      <c r="H296" s="6">
        <v>0.04</v>
      </c>
      <c r="J296" s="12">
        <f t="shared" ca="1" si="45"/>
        <v>238</v>
      </c>
      <c r="K296" s="13">
        <f t="shared" ca="1" si="46"/>
        <v>7.9333333333333336</v>
      </c>
      <c r="L296" s="14">
        <f t="shared" ca="1" si="47"/>
        <v>5459.284562325869</v>
      </c>
      <c r="M296" s="14">
        <f t="shared" si="48"/>
        <v>98.70620000000001</v>
      </c>
      <c r="N296" s="14">
        <f t="shared" ca="1" si="49"/>
        <v>469.84151200000002</v>
      </c>
      <c r="O296" s="20">
        <f t="shared" ca="1" si="50"/>
        <v>6027.8322743258686</v>
      </c>
      <c r="P296" s="22" t="str">
        <f t="shared" ca="1" si="51"/>
        <v>SIM</v>
      </c>
      <c r="Q296" t="b">
        <f t="shared" ca="1" si="52"/>
        <v>1</v>
      </c>
      <c r="R296" t="str">
        <f t="shared" ca="1" si="53"/>
        <v>SIM</v>
      </c>
      <c r="S296" t="str">
        <f t="shared" ca="1" si="54"/>
        <v>SIM</v>
      </c>
    </row>
    <row r="297" spans="1:19">
      <c r="A297" s="7" t="s">
        <v>705</v>
      </c>
      <c r="B297" s="7" t="s">
        <v>594</v>
      </c>
      <c r="C297" s="29" t="s">
        <v>176</v>
      </c>
      <c r="D297" s="28" t="str">
        <f t="shared" si="44"/>
        <v>05/2025</v>
      </c>
      <c r="E297" s="8">
        <v>3556.96</v>
      </c>
      <c r="F297" s="18">
        <v>2.12</v>
      </c>
      <c r="G297" s="9">
        <v>2</v>
      </c>
      <c r="H297" s="10">
        <v>3.0200000000000001E-2</v>
      </c>
      <c r="J297" s="12">
        <f t="shared" ca="1" si="45"/>
        <v>537</v>
      </c>
      <c r="K297" s="13">
        <f t="shared" ca="1" si="46"/>
        <v>17.899999999999999</v>
      </c>
      <c r="L297" s="14">
        <f t="shared" ca="1" si="47"/>
        <v>5178.0043517852973</v>
      </c>
      <c r="M297" s="14">
        <f t="shared" si="48"/>
        <v>71.139200000000002</v>
      </c>
      <c r="N297" s="14">
        <f t="shared" ca="1" si="49"/>
        <v>576.84643103999997</v>
      </c>
      <c r="O297" s="20">
        <f t="shared" ca="1" si="50"/>
        <v>5825.9899828252965</v>
      </c>
      <c r="P297" s="22" t="str">
        <f t="shared" ca="1" si="51"/>
        <v>SIM</v>
      </c>
      <c r="Q297" t="b">
        <f t="shared" ca="1" si="52"/>
        <v>1</v>
      </c>
      <c r="R297" t="str">
        <f t="shared" ca="1" si="53"/>
        <v>SIM</v>
      </c>
      <c r="S297" t="str">
        <f t="shared" ca="1" si="54"/>
        <v>SIM</v>
      </c>
    </row>
    <row r="298" spans="1:19">
      <c r="A298" s="3" t="s">
        <v>706</v>
      </c>
      <c r="B298" s="3" t="s">
        <v>707</v>
      </c>
      <c r="C298" s="28" t="s">
        <v>586</v>
      </c>
      <c r="D298" s="28" t="str">
        <f t="shared" si="44"/>
        <v>01/2025</v>
      </c>
      <c r="E298" s="4">
        <v>576.15</v>
      </c>
      <c r="F298" s="17">
        <v>1.7</v>
      </c>
      <c r="G298" s="5">
        <v>2</v>
      </c>
      <c r="H298" s="6">
        <v>3.0700000000000002E-2</v>
      </c>
      <c r="J298" s="12">
        <f t="shared" ca="1" si="45"/>
        <v>648</v>
      </c>
      <c r="K298" s="13">
        <f t="shared" ca="1" si="46"/>
        <v>21.6</v>
      </c>
      <c r="L298" s="14">
        <f t="shared" ca="1" si="47"/>
        <v>829.21690883167059</v>
      </c>
      <c r="M298" s="14">
        <f t="shared" si="48"/>
        <v>11.523</v>
      </c>
      <c r="N298" s="14">
        <f t="shared" ca="1" si="49"/>
        <v>114.6169764</v>
      </c>
      <c r="O298" s="20">
        <f t="shared" ca="1" si="50"/>
        <v>955.35688523167062</v>
      </c>
      <c r="P298" s="22" t="str">
        <f t="shared" ca="1" si="51"/>
        <v>SIM</v>
      </c>
      <c r="Q298" t="b">
        <f t="shared" ca="1" si="52"/>
        <v>1</v>
      </c>
      <c r="R298" t="str">
        <f t="shared" ca="1" si="53"/>
        <v>SIM</v>
      </c>
      <c r="S298" t="str">
        <f t="shared" ca="1" si="54"/>
        <v>SIM</v>
      </c>
    </row>
    <row r="299" spans="1:19">
      <c r="A299" s="7" t="s">
        <v>708</v>
      </c>
      <c r="B299" s="7" t="s">
        <v>173</v>
      </c>
      <c r="C299" s="29" t="s">
        <v>476</v>
      </c>
      <c r="D299" s="28" t="str">
        <f t="shared" si="44"/>
        <v>06/2025</v>
      </c>
      <c r="E299" s="8">
        <v>2075.08</v>
      </c>
      <c r="F299" s="18">
        <v>1.27</v>
      </c>
      <c r="G299" s="9">
        <v>2</v>
      </c>
      <c r="H299" s="10">
        <v>4.1399999999999999E-2</v>
      </c>
      <c r="J299" s="12">
        <f t="shared" ca="1" si="45"/>
        <v>509</v>
      </c>
      <c r="K299" s="13">
        <f t="shared" ca="1" si="46"/>
        <v>16.966666666666665</v>
      </c>
      <c r="L299" s="14">
        <f t="shared" ca="1" si="47"/>
        <v>2570.5491998017155</v>
      </c>
      <c r="M299" s="14">
        <f t="shared" si="48"/>
        <v>41.501599999999996</v>
      </c>
      <c r="N299" s="14">
        <f t="shared" ca="1" si="49"/>
        <v>437.27330807999999</v>
      </c>
      <c r="O299" s="20">
        <f t="shared" ca="1" si="50"/>
        <v>3049.3241078817155</v>
      </c>
      <c r="P299" s="22" t="str">
        <f t="shared" ca="1" si="51"/>
        <v>SIM</v>
      </c>
      <c r="Q299" t="b">
        <f t="shared" ca="1" si="52"/>
        <v>1</v>
      </c>
      <c r="R299" t="str">
        <f t="shared" ca="1" si="53"/>
        <v>SIM</v>
      </c>
      <c r="S299" t="str">
        <f t="shared" ca="1" si="54"/>
        <v>SIM</v>
      </c>
    </row>
    <row r="300" spans="1:19">
      <c r="A300" s="3" t="s">
        <v>709</v>
      </c>
      <c r="B300" s="3" t="s">
        <v>16</v>
      </c>
      <c r="C300" s="28" t="s">
        <v>576</v>
      </c>
      <c r="D300" s="28" t="str">
        <f t="shared" si="44"/>
        <v>06/2025</v>
      </c>
      <c r="E300" s="4">
        <v>4133.99</v>
      </c>
      <c r="F300" s="17">
        <v>1.08</v>
      </c>
      <c r="G300" s="5">
        <v>2</v>
      </c>
      <c r="H300" s="6">
        <v>4.3400000000000001E-2</v>
      </c>
      <c r="J300" s="12">
        <f t="shared" ca="1" si="45"/>
        <v>511</v>
      </c>
      <c r="K300" s="13">
        <f t="shared" ca="1" si="46"/>
        <v>17.033333333333335</v>
      </c>
      <c r="L300" s="14">
        <f t="shared" ca="1" si="47"/>
        <v>4964.0242535493917</v>
      </c>
      <c r="M300" s="14">
        <f t="shared" si="48"/>
        <v>82.6798</v>
      </c>
      <c r="N300" s="14">
        <f t="shared" ca="1" si="49"/>
        <v>916.81149826000001</v>
      </c>
      <c r="O300" s="20">
        <f t="shared" ca="1" si="50"/>
        <v>5963.5155518093916</v>
      </c>
      <c r="P300" s="22" t="str">
        <f t="shared" ca="1" si="51"/>
        <v>SIM</v>
      </c>
      <c r="Q300" t="b">
        <f t="shared" ca="1" si="52"/>
        <v>1</v>
      </c>
      <c r="R300" t="str">
        <f t="shared" ca="1" si="53"/>
        <v>SIM</v>
      </c>
      <c r="S300" t="str">
        <f t="shared" ca="1" si="54"/>
        <v>SIM</v>
      </c>
    </row>
    <row r="301" spans="1:19">
      <c r="A301" s="7" t="s">
        <v>710</v>
      </c>
      <c r="B301" s="7" t="s">
        <v>447</v>
      </c>
      <c r="C301" s="29" t="s">
        <v>711</v>
      </c>
      <c r="D301" s="28" t="str">
        <f t="shared" si="44"/>
        <v>11/2025</v>
      </c>
      <c r="E301" s="8">
        <v>4496.67</v>
      </c>
      <c r="F301" s="18">
        <v>2.19</v>
      </c>
      <c r="G301" s="9">
        <v>2</v>
      </c>
      <c r="H301" s="10">
        <v>4.2299999999999997E-2</v>
      </c>
      <c r="J301" s="12">
        <f t="shared" ca="1" si="45"/>
        <v>331</v>
      </c>
      <c r="K301" s="13">
        <f t="shared" ca="1" si="46"/>
        <v>11.033333333333333</v>
      </c>
      <c r="L301" s="14">
        <f t="shared" ca="1" si="47"/>
        <v>5710.8009207277282</v>
      </c>
      <c r="M301" s="14">
        <f t="shared" si="48"/>
        <v>89.933400000000006</v>
      </c>
      <c r="N301" s="14">
        <f t="shared" ca="1" si="49"/>
        <v>629.59225671000002</v>
      </c>
      <c r="O301" s="20">
        <f t="shared" ca="1" si="50"/>
        <v>6430.3265774377278</v>
      </c>
      <c r="P301" s="22" t="str">
        <f t="shared" ca="1" si="51"/>
        <v>SIM</v>
      </c>
      <c r="Q301" t="b">
        <f t="shared" ca="1" si="52"/>
        <v>1</v>
      </c>
      <c r="R301" t="str">
        <f t="shared" ca="1" si="53"/>
        <v>SIM</v>
      </c>
      <c r="S301" t="str">
        <f t="shared" ca="1" si="54"/>
        <v>SIM</v>
      </c>
    </row>
    <row r="302" spans="1:19">
      <c r="A302" s="3" t="s">
        <v>712</v>
      </c>
      <c r="B302" s="3" t="s">
        <v>416</v>
      </c>
      <c r="C302" s="28" t="s">
        <v>713</v>
      </c>
      <c r="D302" s="28" t="str">
        <f t="shared" si="44"/>
        <v>09/2025</v>
      </c>
      <c r="E302" s="4">
        <v>3588.94</v>
      </c>
      <c r="F302" s="17">
        <v>2.74</v>
      </c>
      <c r="G302" s="5">
        <v>2</v>
      </c>
      <c r="H302" s="6">
        <v>4.4299999999999999E-2</v>
      </c>
      <c r="J302" s="12">
        <f t="shared" ca="1" si="45"/>
        <v>419</v>
      </c>
      <c r="K302" s="13">
        <f t="shared" ca="1" si="46"/>
        <v>13.966666666666667</v>
      </c>
      <c r="L302" s="14">
        <f t="shared" ca="1" si="47"/>
        <v>5235.1452839136464</v>
      </c>
      <c r="M302" s="14">
        <f t="shared" si="48"/>
        <v>71.778800000000004</v>
      </c>
      <c r="N302" s="14">
        <f t="shared" ca="1" si="49"/>
        <v>666.16827597999998</v>
      </c>
      <c r="O302" s="20">
        <f t="shared" ca="1" si="50"/>
        <v>5973.0923598936461</v>
      </c>
      <c r="P302" s="22" t="str">
        <f t="shared" ca="1" si="51"/>
        <v>SIM</v>
      </c>
      <c r="Q302" t="b">
        <f t="shared" ca="1" si="52"/>
        <v>1</v>
      </c>
      <c r="R302" t="str">
        <f t="shared" ca="1" si="53"/>
        <v>SIM</v>
      </c>
      <c r="S302" t="str">
        <f t="shared" ca="1" si="54"/>
        <v>SIM</v>
      </c>
    </row>
    <row r="303" spans="1:19">
      <c r="A303" s="7" t="s">
        <v>714</v>
      </c>
      <c r="B303" s="7" t="s">
        <v>715</v>
      </c>
      <c r="C303" s="29" t="s">
        <v>716</v>
      </c>
      <c r="D303" s="28" t="str">
        <f t="shared" si="44"/>
        <v>12/2025</v>
      </c>
      <c r="E303" s="8">
        <v>1796.33</v>
      </c>
      <c r="F303" s="18">
        <v>2.63</v>
      </c>
      <c r="G303" s="9">
        <v>2</v>
      </c>
      <c r="H303" s="10">
        <v>3.1600000000000003E-2</v>
      </c>
      <c r="J303" s="12">
        <f t="shared" ca="1" si="45"/>
        <v>313</v>
      </c>
      <c r="K303" s="13">
        <f t="shared" ca="1" si="46"/>
        <v>10.433333333333334</v>
      </c>
      <c r="L303" s="14">
        <f t="shared" ca="1" si="47"/>
        <v>2355.1303793921497</v>
      </c>
      <c r="M303" s="14">
        <f t="shared" si="48"/>
        <v>35.926600000000001</v>
      </c>
      <c r="N303" s="14">
        <f t="shared" ca="1" si="49"/>
        <v>177.67140764000001</v>
      </c>
      <c r="O303" s="20">
        <f t="shared" ca="1" si="50"/>
        <v>2568.7283870321494</v>
      </c>
      <c r="P303" s="22" t="str">
        <f t="shared" ca="1" si="51"/>
        <v>SIM</v>
      </c>
      <c r="Q303" t="b">
        <f t="shared" ca="1" si="52"/>
        <v>1</v>
      </c>
      <c r="R303" t="str">
        <f t="shared" ca="1" si="53"/>
        <v>SIM</v>
      </c>
      <c r="S303" t="str">
        <f t="shared" ca="1" si="54"/>
        <v>SIM</v>
      </c>
    </row>
  </sheetData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BC839DA-7AD2-4781-B6B6-DF4DE6565276}">
            <xm:f>NOT(ISERROR(SEARCH("SIM",P1)))</xm:f>
            <xm:f>"SIM"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Q3:S3 P1:P1048576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1ED14-F61F-4965-9CE6-097B06296811}">
  <dimension ref="B2:H3"/>
  <sheetViews>
    <sheetView zoomScale="190" zoomScaleNormal="190" workbookViewId="0">
      <selection activeCell="D4" sqref="D4"/>
    </sheetView>
  </sheetViews>
  <sheetFormatPr defaultRowHeight="15"/>
  <cols>
    <col min="2" max="2" width="16.28515625" bestFit="1" customWidth="1"/>
  </cols>
  <sheetData>
    <row r="2" spans="2:8">
      <c r="B2" s="21">
        <f ca="1">NOW()</f>
        <v>46322.480470254632</v>
      </c>
      <c r="C2" t="s">
        <v>724</v>
      </c>
      <c r="D2" t="s">
        <v>725</v>
      </c>
      <c r="E2" t="s">
        <v>726</v>
      </c>
      <c r="F2" t="s">
        <v>727</v>
      </c>
      <c r="G2" t="s">
        <v>728</v>
      </c>
      <c r="H2" t="s">
        <v>729</v>
      </c>
    </row>
    <row r="3" spans="2:8">
      <c r="C3">
        <f ca="1">DAY(B2)</f>
        <v>27</v>
      </c>
      <c r="D3">
        <v>6</v>
      </c>
      <c r="E3">
        <f ca="1">YEAR(B2)</f>
        <v>2026</v>
      </c>
      <c r="F3">
        <f ca="1">HOUR(B2)</f>
        <v>11</v>
      </c>
      <c r="G3">
        <f ca="1">MINUTE(B2)</f>
        <v>31</v>
      </c>
      <c r="H3">
        <f ca="1">SECOND(B2)</f>
        <v>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Planilha4</vt:lpstr>
      <vt:lpstr>Parcelas Vencidas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2026-10-27T11:39:07Z</dcterms:created>
  <dcterms:modified xsi:type="dcterms:W3CDTF">2026-10-27T14:38:36Z</dcterms:modified>
</cp:coreProperties>
</file>