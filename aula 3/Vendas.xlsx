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Git\Senat\curso_excel_intermediario\aula 3\"/>
    </mc:Choice>
  </mc:AlternateContent>
  <xr:revisionPtr revIDLastSave="0" documentId="13_ncr:1_{255E605B-3C4E-4277-9125-1684B61A83B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Vendas" sheetId="1" r:id="rId1"/>
    <sheet name="Vendedores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F2" i="1" a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F63" i="1" a="1"/>
  <c r="F64" i="1" a="1"/>
  <c r="F65" i="1" a="1"/>
  <c r="F66" i="1" a="1"/>
  <c r="F67" i="1" a="1"/>
  <c r="F68" i="1" a="1"/>
  <c r="F69" i="1" a="1"/>
  <c r="F70" i="1" a="1"/>
  <c r="F71" i="1" a="1"/>
  <c r="F72" i="1" a="1"/>
  <c r="F73" i="1" a="1"/>
  <c r="F74" i="1" a="1"/>
  <c r="F75" i="1" a="1"/>
  <c r="F76" i="1" a="1"/>
  <c r="F77" i="1" a="1"/>
  <c r="F78" i="1" a="1"/>
  <c r="F79" i="1" a="1"/>
  <c r="F80" i="1" a="1"/>
  <c r="F81" i="1" a="1"/>
  <c r="F82" i="1" a="1"/>
  <c r="E3" i="1"/>
  <c r="F3" i="1" s="1" a="1"/>
  <c r="E4" i="1"/>
  <c r="F4" i="1" s="1" a="1"/>
  <c r="E5" i="1"/>
  <c r="F5" i="1" s="1" a="1"/>
  <c r="E6" i="1"/>
  <c r="F6" i="1" s="1" a="1"/>
  <c r="E7" i="1"/>
  <c r="F7" i="1" s="1" a="1"/>
  <c r="E8" i="1"/>
  <c r="F8" i="1" s="1" a="1"/>
  <c r="E9" i="1"/>
  <c r="F9" i="1" s="1" a="1"/>
  <c r="E10" i="1"/>
  <c r="F10" i="1" s="1" a="1"/>
  <c r="E11" i="1"/>
  <c r="F11" i="1" s="1" a="1"/>
  <c r="E12" i="1"/>
  <c r="F12" i="1" s="1" a="1"/>
  <c r="E13" i="1"/>
  <c r="F13" i="1" s="1" a="1"/>
  <c r="E14" i="1"/>
  <c r="F14" i="1" s="1" a="1"/>
  <c r="E15" i="1"/>
  <c r="F15" i="1" s="1" a="1"/>
  <c r="E16" i="1"/>
  <c r="F16" i="1" s="1" a="1"/>
  <c r="E17" i="1"/>
  <c r="F17" i="1" s="1" a="1"/>
  <c r="E18" i="1"/>
  <c r="F18" i="1" s="1" a="1"/>
  <c r="E19" i="1"/>
  <c r="F19" i="1" s="1" a="1"/>
  <c r="E20" i="1"/>
  <c r="F20" i="1" s="1" a="1"/>
  <c r="E21" i="1"/>
  <c r="F21" i="1" s="1" a="1"/>
  <c r="E22" i="1"/>
  <c r="F22" i="1" s="1" a="1"/>
  <c r="E23" i="1"/>
  <c r="F23" i="1" s="1" a="1"/>
  <c r="E24" i="1"/>
  <c r="F24" i="1" s="1" a="1"/>
  <c r="E25" i="1"/>
  <c r="F25" i="1" s="1" a="1"/>
  <c r="E26" i="1"/>
  <c r="F26" i="1" s="1" a="1"/>
  <c r="E27" i="1"/>
  <c r="F27" i="1" s="1" a="1"/>
  <c r="E28" i="1"/>
  <c r="F28" i="1" s="1" a="1"/>
  <c r="E29" i="1"/>
  <c r="F29" i="1" s="1" a="1"/>
  <c r="E30" i="1"/>
  <c r="F30" i="1" s="1" a="1"/>
  <c r="E31" i="1"/>
  <c r="F31" i="1" s="1" a="1"/>
  <c r="E32" i="1"/>
  <c r="F32" i="1" s="1" a="1"/>
  <c r="E33" i="1"/>
  <c r="F33" i="1" s="1" a="1"/>
  <c r="E34" i="1"/>
  <c r="F34" i="1" s="1" a="1"/>
  <c r="E35" i="1"/>
  <c r="F35" i="1" s="1" a="1"/>
  <c r="E36" i="1"/>
  <c r="F36" i="1" s="1" a="1"/>
  <c r="E37" i="1"/>
  <c r="F37" i="1" s="1" a="1"/>
  <c r="E38" i="1"/>
  <c r="F38" i="1" s="1" a="1"/>
  <c r="E39" i="1"/>
  <c r="F39" i="1" s="1" a="1"/>
  <c r="E40" i="1"/>
  <c r="F40" i="1" s="1" a="1"/>
  <c r="E41" i="1"/>
  <c r="F41" i="1" s="1" a="1"/>
  <c r="E42" i="1"/>
  <c r="F42" i="1" s="1" a="1"/>
  <c r="E43" i="1"/>
  <c r="F43" i="1" s="1" a="1"/>
  <c r="E44" i="1"/>
  <c r="F44" i="1" s="1" a="1"/>
  <c r="E45" i="1"/>
  <c r="F45" i="1" s="1" a="1"/>
  <c r="E46" i="1"/>
  <c r="F46" i="1" s="1" a="1"/>
  <c r="E47" i="1"/>
  <c r="F47" i="1" s="1" a="1"/>
  <c r="E48" i="1"/>
  <c r="F48" i="1" s="1" a="1"/>
  <c r="E49" i="1"/>
  <c r="F49" i="1" s="1" a="1"/>
  <c r="E50" i="1"/>
  <c r="F50" i="1" s="1" a="1"/>
  <c r="E51" i="1"/>
  <c r="F51" i="1" s="1" a="1"/>
  <c r="E52" i="1"/>
  <c r="F52" i="1" s="1" a="1"/>
  <c r="E53" i="1"/>
  <c r="F53" i="1" s="1" a="1"/>
  <c r="E54" i="1"/>
  <c r="F54" i="1" s="1" a="1"/>
  <c r="E55" i="1"/>
  <c r="F55" i="1" s="1" a="1"/>
  <c r="E56" i="1"/>
  <c r="F56" i="1" s="1" a="1"/>
  <c r="E57" i="1"/>
  <c r="F57" i="1" s="1" a="1"/>
  <c r="E58" i="1"/>
  <c r="F58" i="1" s="1" a="1"/>
  <c r="E59" i="1"/>
  <c r="F59" i="1" s="1" a="1"/>
  <c r="E60" i="1"/>
  <c r="F60" i="1" s="1" a="1"/>
  <c r="E61" i="1"/>
  <c r="F61" i="1" s="1" a="1"/>
  <c r="E62" i="1"/>
  <c r="F62" i="1" s="1" a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F83" i="1" s="1" a="1"/>
  <c r="E84" i="1"/>
  <c r="F84" i="1" s="1" a="1"/>
  <c r="E85" i="1"/>
  <c r="F85" i="1" s="1" a="1"/>
  <c r="E86" i="1"/>
  <c r="F86" i="1" s="1" a="1"/>
  <c r="E87" i="1"/>
  <c r="F87" i="1" s="1" a="1"/>
  <c r="E88" i="1"/>
  <c r="F88" i="1" s="1" a="1"/>
  <c r="E89" i="1"/>
  <c r="F89" i="1" s="1" a="1"/>
  <c r="E90" i="1"/>
  <c r="F90" i="1" s="1" a="1"/>
  <c r="E91" i="1"/>
  <c r="F91" i="1" s="1" a="1"/>
  <c r="E92" i="1"/>
  <c r="F92" i="1" s="1" a="1"/>
  <c r="E93" i="1"/>
  <c r="F93" i="1" s="1" a="1"/>
  <c r="E94" i="1"/>
  <c r="F94" i="1" s="1" a="1"/>
  <c r="E95" i="1"/>
  <c r="F95" i="1" s="1" a="1"/>
  <c r="E96" i="1"/>
  <c r="F96" i="1" s="1" a="1"/>
  <c r="E97" i="1"/>
  <c r="F97" i="1" s="1" a="1"/>
  <c r="E98" i="1"/>
  <c r="F98" i="1" s="1" a="1"/>
  <c r="E99" i="1"/>
  <c r="F99" i="1" s="1" a="1"/>
  <c r="E100" i="1"/>
  <c r="F100" i="1" s="1" a="1"/>
  <c r="E101" i="1"/>
  <c r="F101" i="1" s="1" a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2" i="1"/>
  <c r="J2" i="1"/>
  <c r="K2" i="1" s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91" i="1"/>
  <c r="K91" i="1" s="1"/>
  <c r="J92" i="1"/>
  <c r="K92" i="1" s="1"/>
  <c r="J93" i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2B1563-4B4F-49C2-8A9F-B9F838C83054}" keepAlive="1" name="Consulta - Tabela1" description="Conexão com a consulta 'Tabela1' na pasta de trabalho." type="5" refreshedVersion="0" background="1">
    <dbPr connection="Provider=Microsoft.Mashup.OleDb.1;Data Source=$Workbook$;Location=Tabela1;Extended Properties=&quot;&quot;" command="SELECT * FROM [Tabela1]"/>
  </connection>
  <connection id="2" xr16:uid="{DFD7162B-D843-4F1A-8513-E1550C31BC6E}" keepAlive="1" name="Consulta - Untitled" description="Conexão com a consulta 'Untitled' na pasta de trabalho." type="5" refreshedVersion="0" background="1">
    <dbPr connection="Provider=Microsoft.Mashup.OleDb.1;Data Source=$Workbook$;Location=Untitled;Extended Properties=&quot;&quot;" command="SELECT * FROM [Untitled]"/>
  </connection>
  <connection id="3" xr16:uid="{95E616D9-369C-4F89-B966-6BCB6D907657}" keepAlive="1" name="Consulta - Untitled (2)" description="Conexão com a consulta 'Untitled (2)' na pasta de trabalho." type="5" refreshedVersion="0" background="1">
    <dbPr connection="Provider=Microsoft.Mashup.OleDb.1;Data Source=$Workbook$;Location=&quot;Untitled (2)&quot;;Extended Properties=&quot;&quot;" command="SELECT * FROM [Untitled (2)]"/>
  </connection>
  <connection id="4" xr16:uid="{CFB46733-28E6-4664-8F64-CB91BFA34BB8}" keepAlive="1" name="Consulta - Untitled (3)" description="Conexão com a consulta 'Untitled (3)' na pasta de trabalho." type="5" refreshedVersion="0" background="1">
    <dbPr connection="Provider=Microsoft.Mashup.OleDb.1;Data Source=$Workbook$;Location=&quot;Untitled (3)&quot;;Extended Properties=&quot;&quot;" command="SELECT * FROM [Untitled (3)]"/>
  </connection>
  <connection id="5" xr16:uid="{7B59A54E-7A8B-4DCE-B9C1-47BD4B36C6FE}" keepAlive="1" name="Consulta - Untitled (4)" description="Conexão com a consulta 'Untitled (4)' na pasta de trabalho." type="5" refreshedVersion="0" background="1">
    <dbPr connection="Provider=Microsoft.Mashup.OleDb.1;Data Source=$Workbook$;Location=&quot;Untitled (4)&quot;;Extended Properties=&quot;&quot;" command="SELECT * FROM [Untitled (4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<sst xmlns="http://schemas.openxmlformats.org/spreadsheetml/2006/main" count="136" uniqueCount="32">
  <si>
    <t>codigo</t>
  </si>
  <si>
    <t>codvendedor</t>
  </si>
  <si>
    <t>data</t>
  </si>
  <si>
    <t>valor total</t>
  </si>
  <si>
    <t>V001</t>
  </si>
  <si>
    <t>V002</t>
  </si>
  <si>
    <t>V005</t>
  </si>
  <si>
    <t>V003</t>
  </si>
  <si>
    <t>V004</t>
  </si>
  <si>
    <t>nome do vendedor</t>
  </si>
  <si>
    <t>Carlos Silva</t>
  </si>
  <si>
    <t>Ana Souza</t>
  </si>
  <si>
    <t>Marcos Oliveira</t>
  </si>
  <si>
    <t>Juliana Lima</t>
  </si>
  <si>
    <t>Marcio Costa</t>
  </si>
  <si>
    <t>vendedor (procv)</t>
  </si>
  <si>
    <t>comissão</t>
  </si>
  <si>
    <t>comissão (procv)</t>
  </si>
  <si>
    <t>valor comissão</t>
  </si>
  <si>
    <t>gerente</t>
  </si>
  <si>
    <t>Marcelo Alves</t>
  </si>
  <si>
    <t>Antonio Silva</t>
  </si>
  <si>
    <t>Rogério Araujo</t>
  </si>
  <si>
    <t>gerente (procx)</t>
  </si>
  <si>
    <t>filial</t>
  </si>
  <si>
    <t>Maringá</t>
  </si>
  <si>
    <t>Apucarana</t>
  </si>
  <si>
    <t>Curitiba</t>
  </si>
  <si>
    <t>São Paulo</t>
  </si>
  <si>
    <t>filial (corresp)</t>
  </si>
  <si>
    <t>filial (índice)</t>
  </si>
  <si>
    <t>filial (índice(corresp))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</si>
</sst>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9" tint="0.39997558519241921"/>
      </left>
      <right/>
      <top/>
      <bottom/>
      <diagonal/>
    </border>
    <border>
      <left/>
      <right style="thin">
        <color theme="9" tint="0.39997558519241921"/>
      </right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14" fontId="1" fillId="0" borderId="0" xfId="0" applyNumberFormat="1" applyFont="1"/>
    <xf numFmtId="14" fontId="0" fillId="0" borderId="0" xfId="0" applyNumberFormat="1"/>
    <xf numFmtId="44" fontId="1" fillId="0" borderId="0" xfId="1" applyFont="1"/>
    <xf numFmtId="44" fontId="0" fillId="0" borderId="0" xfId="1" applyFont="1"/>
    <xf numFmtId="0" fontId="3" fillId="2" borderId="3" xfId="0" applyNumberFormat="1" applyFont="1" applyFill="1" applyBorder="1"/>
    <xf numFmtId="0" fontId="3" fillId="2" borderId="4" xfId="0" applyNumberFormat="1" applyFont="1" applyFill="1" applyBorder="1"/>
    <xf numFmtId="0" fontId="3" fillId="0" borderId="3" xfId="0" applyNumberFormat="1" applyFont="1" applyBorder="1"/>
    <xf numFmtId="0" fontId="3" fillId="0" borderId="4" xfId="0" applyNumberFormat="1" applyFont="1" applyBorder="1"/>
    <xf numFmtId="0" fontId="3" fillId="2" borderId="1" xfId="0" applyNumberFormat="1" applyFont="1" applyFill="1" applyBorder="1"/>
    <xf numFmtId="0" fontId="3" fillId="2" borderId="2" xfId="0" applyNumberFormat="1" applyFont="1" applyFill="1" applyBorder="1"/>
    <xf numFmtId="0" fontId="4" fillId="0" borderId="0" xfId="0" applyFont="1"/>
    <xf numFmtId="0" fontId="3" fillId="0" borderId="5" xfId="0" applyNumberFormat="1" applyFont="1" applyFill="1" applyBorder="1"/>
    <xf numFmtId="0" fontId="3" fillId="0" borderId="6" xfId="0" applyNumberFormat="1" applyFont="1" applyFill="1" applyBorder="1"/>
    <xf numFmtId="0" fontId="3" fillId="0" borderId="0" xfId="0" applyFont="1"/>
    <xf numFmtId="9" fontId="0" fillId="0" borderId="0" xfId="2" applyFont="1"/>
    <xf numFmtId="9" fontId="3" fillId="2" borderId="4" xfId="2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9" fontId="3" fillId="2" borderId="2" xfId="2" applyFont="1" applyFill="1" applyBorder="1" applyAlignment="1">
      <alignment horizontal="center"/>
    </xf>
    <xf numFmtId="9" fontId="3" fillId="0" borderId="6" xfId="2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3" fillId="0" borderId="0" xfId="2" applyFont="1"/>
    <xf numFmtId="44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abSelected="1" topLeftCell="B1" zoomScale="190" zoomScaleNormal="190" workbookViewId="0">
      <selection activeCell="D6" sqref="D6"/>
    </sheetView>
  </sheetViews>
  <sheetFormatPr defaultColWidth="12.5703125" defaultRowHeight="15.75" customHeight="1" x14ac:dyDescent="0.2"/>
  <cols>
    <col min="3" max="3" width="15" bestFit="1" customWidth="1"/>
    <col min="4" max="4" width="13.5703125" bestFit="1" customWidth="1"/>
    <col min="5" max="6" width="13.5703125" customWidth="1"/>
    <col min="7" max="7" width="21.140625" customWidth="1"/>
    <col min="8" max="8" width="12.5703125" style="3"/>
    <col min="9" max="9" width="14.5703125" style="5" bestFit="1" customWidth="1"/>
    <col min="10" max="10" width="15.42578125" style="16" bestFit="1" customWidth="1"/>
  </cols>
  <sheetData>
    <row r="1" spans="1:11" x14ac:dyDescent="0.2">
      <c r="A1" s="1" t="s">
        <v>0</v>
      </c>
      <c r="B1" s="1" t="s">
        <v>1</v>
      </c>
      <c r="C1" s="15" t="s">
        <v>15</v>
      </c>
      <c r="D1" s="15" t="s">
        <v>23</v>
      </c>
      <c r="E1" s="15" t="s">
        <v>29</v>
      </c>
      <c r="F1" s="15" t="s">
        <v>30</v>
      </c>
      <c r="G1" s="15" t="s">
        <v>31</v>
      </c>
      <c r="H1" s="2" t="s">
        <v>2</v>
      </c>
      <c r="I1" s="4" t="s">
        <v>3</v>
      </c>
      <c r="J1" s="22" t="s">
        <v>17</v>
      </c>
      <c r="K1" s="12" t="s">
        <v>18</v>
      </c>
    </row>
    <row r="2" spans="1:11" x14ac:dyDescent="0.2">
      <c r="A2" s="1">
        <v>1001</v>
      </c>
      <c r="B2" s="1" t="s">
        <v>4</v>
      </c>
      <c r="C2" s="1" t="str">
        <f>VLOOKUP(B2,Vendedores!A:B,2,TRUE)</f>
        <v>Carlos Silva</v>
      </c>
      <c r="D2" s="1" t="str">
        <f>_xlfn.XLOOKUP(B2,Vendedores!A:A,Vendedores!D:D)</f>
        <v>Marcelo Alves</v>
      </c>
      <c r="E2" s="1">
        <f>MATCH(B2,Vendedores!A:A)</f>
        <v>2</v>
      </c>
      <c r="F2" s="1" t="str" cm="1">
        <f t="array" ref="F2">INDEX(Vendedores!E:E,Vendas!E2)</f>
        <v>Maringá</v>
      </c>
      <c r="G2" s="1" t="str">
        <f>INDEX(Vendedores!E:E, MATCH(Vendas!B2,Vendedores!A:A))</f>
        <v>Maringá</v>
      </c>
      <c r="H2" s="2">
        <v>46026</v>
      </c>
      <c r="I2" s="4">
        <v>3759.44</v>
      </c>
      <c r="J2" s="16">
        <f>VLOOKUP(B2,Vendedores!A:C,3,FALSE)</f>
        <v>0.08</v>
      </c>
      <c r="K2" s="23">
        <f>I2*J2</f>
        <v>300.7552</v>
      </c>
    </row>
    <row r="3" spans="1:11" x14ac:dyDescent="0.2">
      <c r="A3" s="1">
        <v>1002</v>
      </c>
      <c r="B3" s="1" t="s">
        <v>5</v>
      </c>
      <c r="C3" s="1" t="str">
        <f>VLOOKUP(B3,Vendedores!A:B,2,TRUE)</f>
        <v>Ana Souza</v>
      </c>
      <c r="D3" s="1" t="str">
        <f>_xlfn.XLOOKUP(B3,Vendedores!A:A,Vendedores!D:D)</f>
        <v>Marcelo Alves</v>
      </c>
      <c r="E3" s="1">
        <f>MATCH(B3,Vendedores!A:A)</f>
        <v>3</v>
      </c>
      <c r="F3" s="1" t="str" cm="1">
        <f t="array" ref="F3">INDEX(Vendedores!E:E,Vendas!E3)</f>
        <v>Maringá</v>
      </c>
      <c r="G3" s="1" t="str">
        <f>INDEX(Vendedores!E:E, MATCH(Vendas!B3,Vendedores!A:A))</f>
        <v>Maringá</v>
      </c>
      <c r="H3" s="2">
        <v>46051</v>
      </c>
      <c r="I3" s="4">
        <v>869.78</v>
      </c>
      <c r="J3" s="16">
        <f>VLOOKUP(B3,Vendedores!A:C,3,FALSE)</f>
        <v>0.08</v>
      </c>
      <c r="K3" s="23">
        <f t="shared" ref="K3:K66" si="0">I3*J3</f>
        <v>69.582399999999993</v>
      </c>
    </row>
    <row r="4" spans="1:11" x14ac:dyDescent="0.2">
      <c r="A4" s="1">
        <v>1003</v>
      </c>
      <c r="B4" s="1" t="s">
        <v>4</v>
      </c>
      <c r="C4" s="1" t="str">
        <f>VLOOKUP(B4,Vendedores!A:B,2,TRUE)</f>
        <v>Carlos Silva</v>
      </c>
      <c r="D4" s="1" t="str">
        <f>_xlfn.XLOOKUP(B4,Vendedores!A:A,Vendedores!D:D)</f>
        <v>Marcelo Alves</v>
      </c>
      <c r="E4" s="1">
        <f>MATCH(B4,Vendedores!A:A)</f>
        <v>2</v>
      </c>
      <c r="F4" s="1" t="str" cm="1">
        <f t="array" ref="F4">INDEX(Vendedores!E:E,Vendas!E4)</f>
        <v>Maringá</v>
      </c>
      <c r="G4" s="1" t="str">
        <f>INDEX(Vendedores!E:E, MATCH(Vendas!B4,Vendedores!A:A))</f>
        <v>Maringá</v>
      </c>
      <c r="H4" s="2">
        <v>46109</v>
      </c>
      <c r="I4" s="4">
        <v>3755.21</v>
      </c>
      <c r="J4" s="16">
        <f>VLOOKUP(B4,Vendedores!A:C,3,FALSE)</f>
        <v>0.08</v>
      </c>
      <c r="K4" s="23">
        <f t="shared" si="0"/>
        <v>300.41680000000002</v>
      </c>
    </row>
    <row r="5" spans="1:11" x14ac:dyDescent="0.2">
      <c r="A5" s="1">
        <v>1004</v>
      </c>
      <c r="B5" s="1" t="s">
        <v>6</v>
      </c>
      <c r="C5" s="1" t="str">
        <f>VLOOKUP(B5,Vendedores!A:B,2,TRUE)</f>
        <v>Marcio Costa</v>
      </c>
      <c r="D5" s="1" t="str">
        <f>_xlfn.XLOOKUP(B5,Vendedores!A:A,Vendedores!D:D)</f>
        <v>Rogério Araujo</v>
      </c>
      <c r="E5" s="1">
        <f>MATCH(B5,Vendedores!A:A)</f>
        <v>6</v>
      </c>
      <c r="F5" s="1" t="str" cm="1">
        <f t="array" ref="F5">INDEX(Vendedores!E:E,Vendas!E5)</f>
        <v>São Paulo</v>
      </c>
      <c r="G5" s="1" t="str">
        <f>INDEX(Vendedores!E:E, MATCH(Vendas!B5,Vendedores!A:A))</f>
        <v>São Paulo</v>
      </c>
      <c r="H5" s="2">
        <v>46034</v>
      </c>
      <c r="I5" s="4">
        <v>3034.36</v>
      </c>
      <c r="J5" s="16">
        <f>VLOOKUP(B5,Vendedores!A:C,3,FALSE)</f>
        <v>0.04</v>
      </c>
      <c r="K5" s="23">
        <f t="shared" si="0"/>
        <v>121.37440000000001</v>
      </c>
    </row>
    <row r="6" spans="1:11" x14ac:dyDescent="0.2">
      <c r="A6" s="1">
        <v>1005</v>
      </c>
      <c r="B6" s="1" t="s">
        <v>4</v>
      </c>
      <c r="C6" s="1" t="str">
        <f>VLOOKUP(B6,Vendedores!A:B,2,TRUE)</f>
        <v>Carlos Silva</v>
      </c>
      <c r="D6" s="1" t="str">
        <f>_xlfn.XLOOKUP(B6,Vendedores!A:A,Vendedores!D:D)</f>
        <v>Marcelo Alves</v>
      </c>
      <c r="E6" s="1">
        <f>MATCH(B6,Vendedores!A:A)</f>
        <v>2</v>
      </c>
      <c r="F6" s="1" t="str" cm="1">
        <f t="array" ref="F6">INDEX(Vendedores!E:E,Vendas!E6)</f>
        <v>Maringá</v>
      </c>
      <c r="G6" s="1" t="str">
        <f>INDEX(Vendedores!E:E, MATCH(Vendas!B6,Vendedores!A:A))</f>
        <v>Maringá</v>
      </c>
      <c r="H6" s="2">
        <v>46026</v>
      </c>
      <c r="I6" s="4">
        <v>649.74</v>
      </c>
      <c r="J6" s="16">
        <f>VLOOKUP(B6,Vendedores!A:C,3,FALSE)</f>
        <v>0.08</v>
      </c>
      <c r="K6" s="23">
        <f t="shared" si="0"/>
        <v>51.979199999999999</v>
      </c>
    </row>
    <row r="7" spans="1:11" x14ac:dyDescent="0.2">
      <c r="A7" s="1">
        <v>1006</v>
      </c>
      <c r="B7" s="1" t="s">
        <v>5</v>
      </c>
      <c r="C7" s="1" t="str">
        <f>VLOOKUP(B7,Vendedores!A:B,2,TRUE)</f>
        <v>Ana Souza</v>
      </c>
      <c r="D7" s="1" t="str">
        <f>_xlfn.XLOOKUP(B7,Vendedores!A:A,Vendedores!D:D)</f>
        <v>Marcelo Alves</v>
      </c>
      <c r="E7" s="1">
        <f>MATCH(B7,Vendedores!A:A)</f>
        <v>3</v>
      </c>
      <c r="F7" s="1" t="str" cm="1">
        <f t="array" ref="F7">INDEX(Vendedores!E:E,Vendas!E7)</f>
        <v>Maringá</v>
      </c>
      <c r="G7" s="1" t="str">
        <f>INDEX(Vendedores!E:E, MATCH(Vendas!B7,Vendedores!A:A))</f>
        <v>Maringá</v>
      </c>
      <c r="H7" s="2">
        <v>46087</v>
      </c>
      <c r="I7" s="4">
        <v>3089.69</v>
      </c>
      <c r="J7" s="16">
        <f>VLOOKUP(B7,Vendedores!A:C,3,FALSE)</f>
        <v>0.08</v>
      </c>
      <c r="K7" s="23">
        <f t="shared" si="0"/>
        <v>247.17520000000002</v>
      </c>
    </row>
    <row r="8" spans="1:11" x14ac:dyDescent="0.2">
      <c r="A8" s="1">
        <v>1007</v>
      </c>
      <c r="B8" s="1" t="s">
        <v>6</v>
      </c>
      <c r="C8" s="1" t="str">
        <f>VLOOKUP(B8,Vendedores!A:B,2,TRUE)</f>
        <v>Marcio Costa</v>
      </c>
      <c r="D8" s="1" t="str">
        <f>_xlfn.XLOOKUP(B8,Vendedores!A:A,Vendedores!D:D)</f>
        <v>Rogério Araujo</v>
      </c>
      <c r="E8" s="1">
        <f>MATCH(B8,Vendedores!A:A)</f>
        <v>6</v>
      </c>
      <c r="F8" s="1" t="str" cm="1">
        <f t="array" ref="F8">INDEX(Vendedores!E:E,Vendas!E8)</f>
        <v>São Paulo</v>
      </c>
      <c r="G8" s="1" t="str">
        <f>INDEX(Vendedores!E:E, MATCH(Vendas!B8,Vendedores!A:A))</f>
        <v>São Paulo</v>
      </c>
      <c r="H8" s="2">
        <v>46048</v>
      </c>
      <c r="I8" s="4">
        <v>3636.89</v>
      </c>
      <c r="J8" s="16">
        <f>VLOOKUP(B8,Vendedores!A:C,3,FALSE)</f>
        <v>0.04</v>
      </c>
      <c r="K8" s="23">
        <f t="shared" si="0"/>
        <v>145.47559999999999</v>
      </c>
    </row>
    <row r="9" spans="1:11" x14ac:dyDescent="0.2">
      <c r="A9" s="1">
        <v>1008</v>
      </c>
      <c r="B9" s="1" t="s">
        <v>6</v>
      </c>
      <c r="C9" s="1" t="str">
        <f>VLOOKUP(B9,Vendedores!A:B,2,TRUE)</f>
        <v>Marcio Costa</v>
      </c>
      <c r="D9" s="1" t="str">
        <f>_xlfn.XLOOKUP(B9,Vendedores!A:A,Vendedores!D:D)</f>
        <v>Rogério Araujo</v>
      </c>
      <c r="E9" s="1">
        <f>MATCH(B9,Vendedores!A:A)</f>
        <v>6</v>
      </c>
      <c r="F9" s="1" t="str" cm="1">
        <f t="array" ref="F9">INDEX(Vendedores!E:E,Vendas!E9)</f>
        <v>São Paulo</v>
      </c>
      <c r="G9" s="1" t="str">
        <f>INDEX(Vendedores!E:E, MATCH(Vendas!B9,Vendedores!A:A))</f>
        <v>São Paulo</v>
      </c>
      <c r="H9" s="2">
        <v>46076</v>
      </c>
      <c r="I9" s="4">
        <v>1903.6</v>
      </c>
      <c r="J9" s="16">
        <f>VLOOKUP(B9,Vendedores!A:C,3,FALSE)</f>
        <v>0.04</v>
      </c>
      <c r="K9" s="23">
        <f t="shared" si="0"/>
        <v>76.143999999999991</v>
      </c>
    </row>
    <row r="10" spans="1:11" x14ac:dyDescent="0.2">
      <c r="A10" s="1">
        <v>1009</v>
      </c>
      <c r="B10" s="1" t="s">
        <v>6</v>
      </c>
      <c r="C10" s="1" t="str">
        <f>VLOOKUP(B10,Vendedores!A:B,2,TRUE)</f>
        <v>Marcio Costa</v>
      </c>
      <c r="D10" s="1" t="str">
        <f>_xlfn.XLOOKUP(B10,Vendedores!A:A,Vendedores!D:D)</f>
        <v>Rogério Araujo</v>
      </c>
      <c r="E10" s="1">
        <f>MATCH(B10,Vendedores!A:A)</f>
        <v>6</v>
      </c>
      <c r="F10" s="1" t="str" cm="1">
        <f t="array" ref="F10">INDEX(Vendedores!E:E,Vendas!E10)</f>
        <v>São Paulo</v>
      </c>
      <c r="G10" s="1" t="str">
        <f>INDEX(Vendedores!E:E, MATCH(Vendas!B10,Vendedores!A:A))</f>
        <v>São Paulo</v>
      </c>
      <c r="H10" s="2">
        <v>46058</v>
      </c>
      <c r="I10" s="4">
        <v>4085.27</v>
      </c>
      <c r="J10" s="16">
        <f>VLOOKUP(B10,Vendedores!A:C,3,FALSE)</f>
        <v>0.04</v>
      </c>
      <c r="K10" s="23">
        <f t="shared" si="0"/>
        <v>163.41079999999999</v>
      </c>
    </row>
    <row r="11" spans="1:11" x14ac:dyDescent="0.2">
      <c r="A11" s="1">
        <v>1010</v>
      </c>
      <c r="B11" s="1" t="s">
        <v>7</v>
      </c>
      <c r="C11" s="1" t="str">
        <f>VLOOKUP(B11,Vendedores!A:B,2,TRUE)</f>
        <v>Marcos Oliveira</v>
      </c>
      <c r="D11" s="1" t="str">
        <f>_xlfn.XLOOKUP(B11,Vendedores!A:A,Vendedores!D:D)</f>
        <v>Antonio Silva</v>
      </c>
      <c r="E11" s="1">
        <f>MATCH(B11,Vendedores!A:A)</f>
        <v>4</v>
      </c>
      <c r="F11" s="1" t="str" cm="1">
        <f t="array" ref="F11">INDEX(Vendedores!E:E,Vendas!E11)</f>
        <v>Apucarana</v>
      </c>
      <c r="G11" s="1" t="str">
        <f>INDEX(Vendedores!E:E, MATCH(Vendas!B11,Vendedores!A:A))</f>
        <v>Apucarana</v>
      </c>
      <c r="H11" s="2">
        <v>46062</v>
      </c>
      <c r="I11" s="4">
        <v>1014.28</v>
      </c>
      <c r="J11" s="16">
        <f>VLOOKUP(B11,Vendedores!A:C,3,FALSE)</f>
        <v>0.15</v>
      </c>
      <c r="K11" s="23">
        <f t="shared" si="0"/>
        <v>152.142</v>
      </c>
    </row>
    <row r="12" spans="1:11" x14ac:dyDescent="0.2">
      <c r="A12" s="1">
        <v>1011</v>
      </c>
      <c r="B12" s="1" t="s">
        <v>5</v>
      </c>
      <c r="C12" s="1" t="str">
        <f>VLOOKUP(B12,Vendedores!A:B,2,TRUE)</f>
        <v>Ana Souza</v>
      </c>
      <c r="D12" s="1" t="str">
        <f>_xlfn.XLOOKUP(B12,Vendedores!A:A,Vendedores!D:D)</f>
        <v>Marcelo Alves</v>
      </c>
      <c r="E12" s="1">
        <f>MATCH(B12,Vendedores!A:A)</f>
        <v>3</v>
      </c>
      <c r="F12" s="1" t="str" cm="1">
        <f t="array" ref="F12">INDEX(Vendedores!E:E,Vendas!E12)</f>
        <v>Maringá</v>
      </c>
      <c r="G12" s="1" t="str">
        <f>INDEX(Vendedores!E:E, MATCH(Vendas!B12,Vendedores!A:A))</f>
        <v>Maringá</v>
      </c>
      <c r="H12" s="2">
        <v>46066</v>
      </c>
      <c r="I12" s="4">
        <v>372762</v>
      </c>
      <c r="J12" s="16">
        <f>VLOOKUP(B12,Vendedores!A:C,3,FALSE)</f>
        <v>0.08</v>
      </c>
      <c r="K12" s="23">
        <f t="shared" si="0"/>
        <v>29820.959999999999</v>
      </c>
    </row>
    <row r="13" spans="1:11" x14ac:dyDescent="0.2">
      <c r="A13" s="1">
        <v>1012</v>
      </c>
      <c r="B13" s="1" t="s">
        <v>4</v>
      </c>
      <c r="C13" s="1" t="str">
        <f>VLOOKUP(B13,Vendedores!A:B,2,TRUE)</f>
        <v>Carlos Silva</v>
      </c>
      <c r="D13" s="1" t="str">
        <f>_xlfn.XLOOKUP(B13,Vendedores!A:A,Vendedores!D:D)</f>
        <v>Marcelo Alves</v>
      </c>
      <c r="E13" s="1">
        <f>MATCH(B13,Vendedores!A:A)</f>
        <v>2</v>
      </c>
      <c r="F13" s="1" t="str" cm="1">
        <f t="array" ref="F13">INDEX(Vendedores!E:E,Vendas!E13)</f>
        <v>Maringá</v>
      </c>
      <c r="G13" s="1" t="str">
        <f>INDEX(Vendedores!E:E, MATCH(Vendas!B13,Vendedores!A:A))</f>
        <v>Maringá</v>
      </c>
      <c r="H13" s="2">
        <v>46057</v>
      </c>
      <c r="I13" s="4">
        <v>4093.59</v>
      </c>
      <c r="J13" s="16">
        <f>VLOOKUP(B13,Vendedores!A:C,3,FALSE)</f>
        <v>0.08</v>
      </c>
      <c r="K13" s="23">
        <f t="shared" si="0"/>
        <v>327.48720000000003</v>
      </c>
    </row>
    <row r="14" spans="1:11" x14ac:dyDescent="0.2">
      <c r="A14" s="1">
        <v>1013</v>
      </c>
      <c r="B14" s="1" t="s">
        <v>6</v>
      </c>
      <c r="C14" s="1" t="str">
        <f>VLOOKUP(B14,Vendedores!A:B,2,TRUE)</f>
        <v>Marcio Costa</v>
      </c>
      <c r="D14" s="1" t="str">
        <f>_xlfn.XLOOKUP(B14,Vendedores!A:A,Vendedores!D:D)</f>
        <v>Rogério Araujo</v>
      </c>
      <c r="E14" s="1">
        <f>MATCH(B14,Vendedores!A:A)</f>
        <v>6</v>
      </c>
      <c r="F14" s="1" t="str" cm="1">
        <f t="array" ref="F14">INDEX(Vendedores!E:E,Vendas!E14)</f>
        <v>São Paulo</v>
      </c>
      <c r="G14" s="1" t="str">
        <f>INDEX(Vendedores!E:E, MATCH(Vendas!B14,Vendedores!A:A))</f>
        <v>São Paulo</v>
      </c>
      <c r="H14" s="2">
        <v>46025</v>
      </c>
      <c r="I14" s="4">
        <v>4283.43</v>
      </c>
      <c r="J14" s="16">
        <f>VLOOKUP(B14,Vendedores!A:C,3,FALSE)</f>
        <v>0.04</v>
      </c>
      <c r="K14" s="23">
        <f t="shared" si="0"/>
        <v>171.33720000000002</v>
      </c>
    </row>
    <row r="15" spans="1:11" x14ac:dyDescent="0.2">
      <c r="A15" s="1">
        <v>1014</v>
      </c>
      <c r="B15" s="1" t="s">
        <v>6</v>
      </c>
      <c r="C15" s="1" t="str">
        <f>VLOOKUP(B15,Vendedores!A:B,2,TRUE)</f>
        <v>Marcio Costa</v>
      </c>
      <c r="D15" s="1" t="str">
        <f>_xlfn.XLOOKUP(B15,Vendedores!A:A,Vendedores!D:D)</f>
        <v>Rogério Araujo</v>
      </c>
      <c r="E15" s="1">
        <f>MATCH(B15,Vendedores!A:A)</f>
        <v>6</v>
      </c>
      <c r="F15" s="1" t="str" cm="1">
        <f t="array" ref="F15">INDEX(Vendedores!E:E,Vendas!E15)</f>
        <v>São Paulo</v>
      </c>
      <c r="G15" s="1" t="str">
        <f>INDEX(Vendedores!E:E, MATCH(Vendas!B15,Vendedores!A:A))</f>
        <v>São Paulo</v>
      </c>
      <c r="H15" s="2">
        <v>46041</v>
      </c>
      <c r="I15" s="4">
        <v>3085.49</v>
      </c>
      <c r="J15" s="16">
        <f>VLOOKUP(B15,Vendedores!A:C,3,FALSE)</f>
        <v>0.04</v>
      </c>
      <c r="K15" s="23">
        <f t="shared" si="0"/>
        <v>123.41959999999999</v>
      </c>
    </row>
    <row r="16" spans="1:11" x14ac:dyDescent="0.2">
      <c r="A16" s="1">
        <v>1015</v>
      </c>
      <c r="B16" s="1" t="s">
        <v>4</v>
      </c>
      <c r="C16" s="1" t="str">
        <f>VLOOKUP(B16,Vendedores!A:B,2,TRUE)</f>
        <v>Carlos Silva</v>
      </c>
      <c r="D16" s="1" t="str">
        <f>_xlfn.XLOOKUP(B16,Vendedores!A:A,Vendedores!D:D)</f>
        <v>Marcelo Alves</v>
      </c>
      <c r="E16" s="1">
        <f>MATCH(B16,Vendedores!A:A)</f>
        <v>2</v>
      </c>
      <c r="F16" s="1" t="str" cm="1">
        <f t="array" ref="F16">INDEX(Vendedores!E:E,Vendas!E16)</f>
        <v>Maringá</v>
      </c>
      <c r="G16" s="1" t="str">
        <f>INDEX(Vendedores!E:E, MATCH(Vendas!B16,Vendedores!A:A))</f>
        <v>Maringá</v>
      </c>
      <c r="H16" s="2">
        <v>46029</v>
      </c>
      <c r="I16" s="4">
        <v>3145.47</v>
      </c>
      <c r="J16" s="16">
        <f>VLOOKUP(B16,Vendedores!A:C,3,FALSE)</f>
        <v>0.08</v>
      </c>
      <c r="K16" s="23">
        <f t="shared" si="0"/>
        <v>251.63759999999999</v>
      </c>
    </row>
    <row r="17" spans="1:11" x14ac:dyDescent="0.2">
      <c r="A17" s="1">
        <v>1016</v>
      </c>
      <c r="B17" s="1" t="s">
        <v>7</v>
      </c>
      <c r="C17" s="1" t="str">
        <f>VLOOKUP(B17,Vendedores!A:B,2,TRUE)</f>
        <v>Marcos Oliveira</v>
      </c>
      <c r="D17" s="1" t="str">
        <f>_xlfn.XLOOKUP(B17,Vendedores!A:A,Vendedores!D:D)</f>
        <v>Antonio Silva</v>
      </c>
      <c r="E17" s="1">
        <f>MATCH(B17,Vendedores!A:A)</f>
        <v>4</v>
      </c>
      <c r="F17" s="1" t="str" cm="1">
        <f t="array" ref="F17">INDEX(Vendedores!E:E,Vendas!E17)</f>
        <v>Apucarana</v>
      </c>
      <c r="G17" s="1" t="str">
        <f>INDEX(Vendedores!E:E, MATCH(Vendas!B17,Vendedores!A:A))</f>
        <v>Apucarana</v>
      </c>
      <c r="H17" s="2">
        <v>46048</v>
      </c>
      <c r="I17" s="4">
        <v>2040.35</v>
      </c>
      <c r="J17" s="16">
        <f>VLOOKUP(B17,Vendedores!A:C,3,FALSE)</f>
        <v>0.15</v>
      </c>
      <c r="K17" s="23">
        <f t="shared" si="0"/>
        <v>306.05249999999995</v>
      </c>
    </row>
    <row r="18" spans="1:11" x14ac:dyDescent="0.2">
      <c r="A18" s="1">
        <v>1017</v>
      </c>
      <c r="B18" s="1" t="s">
        <v>8</v>
      </c>
      <c r="C18" s="1" t="str">
        <f>VLOOKUP(B18,Vendedores!A:B,2,TRUE)</f>
        <v>Juliana Lima</v>
      </c>
      <c r="D18" s="1" t="str">
        <f>_xlfn.XLOOKUP(B18,Vendedores!A:A,Vendedores!D:D)</f>
        <v>Rogério Araujo</v>
      </c>
      <c r="E18" s="1">
        <f>MATCH(B18,Vendedores!A:A)</f>
        <v>5</v>
      </c>
      <c r="F18" s="1" t="str" cm="1">
        <f t="array" ref="F18">INDEX(Vendedores!E:E,Vendas!E18)</f>
        <v>Curitiba</v>
      </c>
      <c r="G18" s="1" t="str">
        <f>INDEX(Vendedores!E:E, MATCH(Vendas!B18,Vendedores!A:A))</f>
        <v>Curitiba</v>
      </c>
      <c r="H18" s="2">
        <v>46031</v>
      </c>
      <c r="I18" s="4">
        <v>4931.3900000000003</v>
      </c>
      <c r="J18" s="16">
        <f>VLOOKUP(B18,Vendedores!A:C,3,FALSE)</f>
        <v>0.1</v>
      </c>
      <c r="K18" s="23">
        <f t="shared" si="0"/>
        <v>493.13900000000007</v>
      </c>
    </row>
    <row r="19" spans="1:11" x14ac:dyDescent="0.2">
      <c r="A19" s="1">
        <v>1018</v>
      </c>
      <c r="B19" s="1" t="s">
        <v>4</v>
      </c>
      <c r="C19" s="1" t="str">
        <f>VLOOKUP(B19,Vendedores!A:B,2,TRUE)</f>
        <v>Carlos Silva</v>
      </c>
      <c r="D19" s="1" t="str">
        <f>_xlfn.XLOOKUP(B19,Vendedores!A:A,Vendedores!D:D)</f>
        <v>Marcelo Alves</v>
      </c>
      <c r="E19" s="1">
        <f>MATCH(B19,Vendedores!A:A)</f>
        <v>2</v>
      </c>
      <c r="F19" s="1" t="str" cm="1">
        <f t="array" ref="F19">INDEX(Vendedores!E:E,Vendas!E19)</f>
        <v>Maringá</v>
      </c>
      <c r="G19" s="1" t="str">
        <f>INDEX(Vendedores!E:E, MATCH(Vendas!B19,Vendedores!A:A))</f>
        <v>Maringá</v>
      </c>
      <c r="H19" s="2">
        <v>46071</v>
      </c>
      <c r="I19" s="4">
        <v>2943.51</v>
      </c>
      <c r="J19" s="16">
        <f>VLOOKUP(B19,Vendedores!A:C,3,FALSE)</f>
        <v>0.08</v>
      </c>
      <c r="K19" s="23">
        <f t="shared" si="0"/>
        <v>235.48080000000002</v>
      </c>
    </row>
    <row r="20" spans="1:11" x14ac:dyDescent="0.2">
      <c r="A20" s="1">
        <v>1019</v>
      </c>
      <c r="B20" s="1" t="s">
        <v>4</v>
      </c>
      <c r="C20" s="1" t="str">
        <f>VLOOKUP(B20,Vendedores!A:B,2,TRUE)</f>
        <v>Carlos Silva</v>
      </c>
      <c r="D20" s="1" t="str">
        <f>_xlfn.XLOOKUP(B20,Vendedores!A:A,Vendedores!D:D)</f>
        <v>Marcelo Alves</v>
      </c>
      <c r="E20" s="1">
        <f>MATCH(B20,Vendedores!A:A)</f>
        <v>2</v>
      </c>
      <c r="F20" s="1" t="str" cm="1">
        <f t="array" ref="F20">INDEX(Vendedores!E:E,Vendas!E20)</f>
        <v>Maringá</v>
      </c>
      <c r="G20" s="1" t="str">
        <f>INDEX(Vendedores!E:E, MATCH(Vendas!B20,Vendedores!A:A))</f>
        <v>Maringá</v>
      </c>
      <c r="H20" s="2">
        <v>46093</v>
      </c>
      <c r="I20" s="4">
        <v>4103.88</v>
      </c>
      <c r="J20" s="16">
        <f>VLOOKUP(B20,Vendedores!A:C,3,FALSE)</f>
        <v>0.08</v>
      </c>
      <c r="K20" s="23">
        <f t="shared" si="0"/>
        <v>328.31040000000002</v>
      </c>
    </row>
    <row r="21" spans="1:11" x14ac:dyDescent="0.2">
      <c r="A21" s="1">
        <v>1020</v>
      </c>
      <c r="B21" s="1" t="s">
        <v>5</v>
      </c>
      <c r="C21" s="1" t="str">
        <f>VLOOKUP(B21,Vendedores!A:B,2,TRUE)</f>
        <v>Ana Souza</v>
      </c>
      <c r="D21" s="1" t="str">
        <f>_xlfn.XLOOKUP(B21,Vendedores!A:A,Vendedores!D:D)</f>
        <v>Marcelo Alves</v>
      </c>
      <c r="E21" s="1">
        <f>MATCH(B21,Vendedores!A:A)</f>
        <v>3</v>
      </c>
      <c r="F21" s="1" t="str" cm="1">
        <f t="array" ref="F21">INDEX(Vendedores!E:E,Vendas!E21)</f>
        <v>Maringá</v>
      </c>
      <c r="G21" s="1" t="str">
        <f>INDEX(Vendedores!E:E, MATCH(Vendas!B21,Vendedores!A:A))</f>
        <v>Maringá</v>
      </c>
      <c r="H21" s="2">
        <v>46044</v>
      </c>
      <c r="I21" s="4">
        <v>3499.74</v>
      </c>
      <c r="J21" s="16">
        <f>VLOOKUP(B21,Vendedores!A:C,3,FALSE)</f>
        <v>0.08</v>
      </c>
      <c r="K21" s="23">
        <f t="shared" si="0"/>
        <v>279.97919999999999</v>
      </c>
    </row>
    <row r="22" spans="1:11" x14ac:dyDescent="0.2">
      <c r="A22" s="1">
        <v>1021</v>
      </c>
      <c r="B22" s="1" t="s">
        <v>5</v>
      </c>
      <c r="C22" s="1" t="str">
        <f>VLOOKUP(B22,Vendedores!A:B,2,TRUE)</f>
        <v>Ana Souza</v>
      </c>
      <c r="D22" s="1" t="str">
        <f>_xlfn.XLOOKUP(B22,Vendedores!A:A,Vendedores!D:D)</f>
        <v>Marcelo Alves</v>
      </c>
      <c r="E22" s="1">
        <f>MATCH(B22,Vendedores!A:A)</f>
        <v>3</v>
      </c>
      <c r="F22" s="1" t="str" cm="1">
        <f t="array" ref="F22">INDEX(Vendedores!E:E,Vendas!E22)</f>
        <v>Maringá</v>
      </c>
      <c r="G22" s="1" t="str">
        <f>INDEX(Vendedores!E:E, MATCH(Vendas!B22,Vendedores!A:A))</f>
        <v>Maringá</v>
      </c>
      <c r="H22" s="2">
        <v>46040</v>
      </c>
      <c r="I22" s="4">
        <v>650896</v>
      </c>
      <c r="J22" s="16">
        <f>VLOOKUP(B22,Vendedores!A:C,3,FALSE)</f>
        <v>0.08</v>
      </c>
      <c r="K22" s="23">
        <f t="shared" si="0"/>
        <v>52071.68</v>
      </c>
    </row>
    <row r="23" spans="1:11" x14ac:dyDescent="0.2">
      <c r="A23" s="1">
        <v>1022</v>
      </c>
      <c r="B23" s="1" t="s">
        <v>6</v>
      </c>
      <c r="C23" s="1" t="str">
        <f>VLOOKUP(B23,Vendedores!A:B,2,TRUE)</f>
        <v>Marcio Costa</v>
      </c>
      <c r="D23" s="1" t="str">
        <f>_xlfn.XLOOKUP(B23,Vendedores!A:A,Vendedores!D:D)</f>
        <v>Rogério Araujo</v>
      </c>
      <c r="E23" s="1">
        <f>MATCH(B23,Vendedores!A:A)</f>
        <v>6</v>
      </c>
      <c r="F23" s="1" t="str" cm="1">
        <f t="array" ref="F23">INDEX(Vendedores!E:E,Vendas!E23)</f>
        <v>São Paulo</v>
      </c>
      <c r="G23" s="1" t="str">
        <f>INDEX(Vendedores!E:E, MATCH(Vendas!B23,Vendedores!A:A))</f>
        <v>São Paulo</v>
      </c>
      <c r="H23" s="2">
        <v>46082</v>
      </c>
      <c r="I23" s="4">
        <v>1730.07</v>
      </c>
      <c r="J23" s="16">
        <f>VLOOKUP(B23,Vendedores!A:C,3,FALSE)</f>
        <v>0.04</v>
      </c>
      <c r="K23" s="23">
        <f t="shared" si="0"/>
        <v>69.202799999999996</v>
      </c>
    </row>
    <row r="24" spans="1:11" x14ac:dyDescent="0.2">
      <c r="A24" s="1">
        <v>1023</v>
      </c>
      <c r="B24" s="1" t="s">
        <v>7</v>
      </c>
      <c r="C24" s="1" t="str">
        <f>VLOOKUP(B24,Vendedores!A:B,2,TRUE)</f>
        <v>Marcos Oliveira</v>
      </c>
      <c r="D24" s="1" t="str">
        <f>_xlfn.XLOOKUP(B24,Vendedores!A:A,Vendedores!D:D)</f>
        <v>Antonio Silva</v>
      </c>
      <c r="E24" s="1">
        <f>MATCH(B24,Vendedores!A:A)</f>
        <v>4</v>
      </c>
      <c r="F24" s="1" t="str" cm="1">
        <f t="array" ref="F24">INDEX(Vendedores!E:E,Vendas!E24)</f>
        <v>Apucarana</v>
      </c>
      <c r="G24" s="1" t="str">
        <f>INDEX(Vendedores!E:E, MATCH(Vendas!B24,Vendedores!A:A))</f>
        <v>Apucarana</v>
      </c>
      <c r="H24" s="2">
        <v>46042</v>
      </c>
      <c r="I24" s="4">
        <v>1314.93</v>
      </c>
      <c r="J24" s="16">
        <f>VLOOKUP(B24,Vendedores!A:C,3,FALSE)</f>
        <v>0.15</v>
      </c>
      <c r="K24" s="23">
        <f t="shared" si="0"/>
        <v>197.23949999999999</v>
      </c>
    </row>
    <row r="25" spans="1:11" x14ac:dyDescent="0.2">
      <c r="A25" s="1">
        <v>1024</v>
      </c>
      <c r="B25" s="1" t="s">
        <v>4</v>
      </c>
      <c r="C25" s="1" t="str">
        <f>VLOOKUP(B25,Vendedores!A:B,2,TRUE)</f>
        <v>Carlos Silva</v>
      </c>
      <c r="D25" s="1" t="str">
        <f>_xlfn.XLOOKUP(B25,Vendedores!A:A,Vendedores!D:D)</f>
        <v>Marcelo Alves</v>
      </c>
      <c r="E25" s="1">
        <f>MATCH(B25,Vendedores!A:A)</f>
        <v>2</v>
      </c>
      <c r="F25" s="1" t="str" cm="1">
        <f t="array" ref="F25">INDEX(Vendedores!E:E,Vendas!E25)</f>
        <v>Maringá</v>
      </c>
      <c r="G25" s="1" t="str">
        <f>INDEX(Vendedores!E:E, MATCH(Vendas!B25,Vendedores!A:A))</f>
        <v>Maringá</v>
      </c>
      <c r="H25" s="2">
        <v>46087</v>
      </c>
      <c r="I25" s="4">
        <v>4490.41</v>
      </c>
      <c r="J25" s="16">
        <f>VLOOKUP(B25,Vendedores!A:C,3,FALSE)</f>
        <v>0.08</v>
      </c>
      <c r="K25" s="23">
        <f t="shared" si="0"/>
        <v>359.2328</v>
      </c>
    </row>
    <row r="26" spans="1:11" x14ac:dyDescent="0.2">
      <c r="A26" s="1">
        <v>1025</v>
      </c>
      <c r="B26" s="1" t="s">
        <v>5</v>
      </c>
      <c r="C26" s="1" t="str">
        <f>VLOOKUP(B26,Vendedores!A:B,2,TRUE)</f>
        <v>Ana Souza</v>
      </c>
      <c r="D26" s="1" t="str">
        <f>_xlfn.XLOOKUP(B26,Vendedores!A:A,Vendedores!D:D)</f>
        <v>Marcelo Alves</v>
      </c>
      <c r="E26" s="1">
        <f>MATCH(B26,Vendedores!A:A)</f>
        <v>3</v>
      </c>
      <c r="F26" s="1" t="str" cm="1">
        <f t="array" ref="F26">INDEX(Vendedores!E:E,Vendas!E26)</f>
        <v>Maringá</v>
      </c>
      <c r="G26" s="1" t="str">
        <f>INDEX(Vendedores!E:E, MATCH(Vendas!B26,Vendedores!A:A))</f>
        <v>Maringá</v>
      </c>
      <c r="H26" s="2">
        <v>46039</v>
      </c>
      <c r="I26" s="4">
        <v>4581.5600000000004</v>
      </c>
      <c r="J26" s="16">
        <f>VLOOKUP(B26,Vendedores!A:C,3,FALSE)</f>
        <v>0.08</v>
      </c>
      <c r="K26" s="23">
        <f t="shared" si="0"/>
        <v>366.52480000000003</v>
      </c>
    </row>
    <row r="27" spans="1:11" x14ac:dyDescent="0.2">
      <c r="A27" s="1">
        <v>1026</v>
      </c>
      <c r="B27" s="1" t="s">
        <v>6</v>
      </c>
      <c r="C27" s="1" t="str">
        <f>VLOOKUP(B27,Vendedores!A:B,2,TRUE)</f>
        <v>Marcio Costa</v>
      </c>
      <c r="D27" s="1" t="str">
        <f>_xlfn.XLOOKUP(B27,Vendedores!A:A,Vendedores!D:D)</f>
        <v>Rogério Araujo</v>
      </c>
      <c r="E27" s="1">
        <f>MATCH(B27,Vendedores!A:A)</f>
        <v>6</v>
      </c>
      <c r="F27" s="1" t="str" cm="1">
        <f t="array" ref="F27">INDEX(Vendedores!E:E,Vendas!E27)</f>
        <v>São Paulo</v>
      </c>
      <c r="G27" s="1" t="str">
        <f>INDEX(Vendedores!E:E, MATCH(Vendas!B27,Vendedores!A:A))</f>
        <v>São Paulo</v>
      </c>
      <c r="H27" s="2">
        <v>46108</v>
      </c>
      <c r="I27" s="4">
        <v>4774.96</v>
      </c>
      <c r="J27" s="16">
        <f>VLOOKUP(B27,Vendedores!A:C,3,FALSE)</f>
        <v>0.04</v>
      </c>
      <c r="K27" s="23">
        <f t="shared" si="0"/>
        <v>190.9984</v>
      </c>
    </row>
    <row r="28" spans="1:11" x14ac:dyDescent="0.2">
      <c r="A28" s="1">
        <v>1027</v>
      </c>
      <c r="B28" s="1" t="s">
        <v>8</v>
      </c>
      <c r="C28" s="1" t="str">
        <f>VLOOKUP(B28,Vendedores!A:B,2,TRUE)</f>
        <v>Juliana Lima</v>
      </c>
      <c r="D28" s="1" t="str">
        <f>_xlfn.XLOOKUP(B28,Vendedores!A:A,Vendedores!D:D)</f>
        <v>Rogério Araujo</v>
      </c>
      <c r="E28" s="1">
        <f>MATCH(B28,Vendedores!A:A)</f>
        <v>5</v>
      </c>
      <c r="F28" s="1" t="str" cm="1">
        <f t="array" ref="F28">INDEX(Vendedores!E:E,Vendas!E28)</f>
        <v>Curitiba</v>
      </c>
      <c r="G28" s="1" t="str">
        <f>INDEX(Vendedores!E:E, MATCH(Vendas!B28,Vendedores!A:A))</f>
        <v>Curitiba</v>
      </c>
      <c r="H28" s="2">
        <v>46034</v>
      </c>
      <c r="I28" s="4">
        <v>3825.13</v>
      </c>
      <c r="J28" s="16">
        <f>VLOOKUP(B28,Vendedores!A:C,3,FALSE)</f>
        <v>0.1</v>
      </c>
      <c r="K28" s="23">
        <f t="shared" si="0"/>
        <v>382.51300000000003</v>
      </c>
    </row>
    <row r="29" spans="1:11" x14ac:dyDescent="0.2">
      <c r="A29" s="1">
        <v>1028</v>
      </c>
      <c r="B29" s="1" t="s">
        <v>8</v>
      </c>
      <c r="C29" s="1" t="str">
        <f>VLOOKUP(B29,Vendedores!A:B,2,TRUE)</f>
        <v>Juliana Lima</v>
      </c>
      <c r="D29" s="1" t="str">
        <f>_xlfn.XLOOKUP(B29,Vendedores!A:A,Vendedores!D:D)</f>
        <v>Rogério Araujo</v>
      </c>
      <c r="E29" s="1">
        <f>MATCH(B29,Vendedores!A:A)</f>
        <v>5</v>
      </c>
      <c r="F29" s="1" t="str" cm="1">
        <f t="array" ref="F29">INDEX(Vendedores!E:E,Vendas!E29)</f>
        <v>Curitiba</v>
      </c>
      <c r="G29" s="1" t="str">
        <f>INDEX(Vendedores!E:E, MATCH(Vendas!B29,Vendedores!A:A))</f>
        <v>Curitiba</v>
      </c>
      <c r="H29" s="2">
        <v>46078</v>
      </c>
      <c r="I29" s="4">
        <v>2742.61</v>
      </c>
      <c r="J29" s="16">
        <f>VLOOKUP(B29,Vendedores!A:C,3,FALSE)</f>
        <v>0.1</v>
      </c>
      <c r="K29" s="23">
        <f t="shared" si="0"/>
        <v>274.26100000000002</v>
      </c>
    </row>
    <row r="30" spans="1:11" x14ac:dyDescent="0.2">
      <c r="A30" s="1">
        <v>1029</v>
      </c>
      <c r="B30" s="1" t="s">
        <v>4</v>
      </c>
      <c r="C30" s="1" t="str">
        <f>VLOOKUP(B30,Vendedores!A:B,2,TRUE)</f>
        <v>Carlos Silva</v>
      </c>
      <c r="D30" s="1" t="str">
        <f>_xlfn.XLOOKUP(B30,Vendedores!A:A,Vendedores!D:D)</f>
        <v>Marcelo Alves</v>
      </c>
      <c r="E30" s="1">
        <f>MATCH(B30,Vendedores!A:A)</f>
        <v>2</v>
      </c>
      <c r="F30" s="1" t="str" cm="1">
        <f t="array" ref="F30">INDEX(Vendedores!E:E,Vendas!E30)</f>
        <v>Maringá</v>
      </c>
      <c r="G30" s="1" t="str">
        <f>INDEX(Vendedores!E:E, MATCH(Vendas!B30,Vendedores!A:A))</f>
        <v>Maringá</v>
      </c>
      <c r="H30" s="2">
        <v>46081</v>
      </c>
      <c r="I30" s="4">
        <v>801435</v>
      </c>
      <c r="J30" s="16">
        <f>VLOOKUP(B30,Vendedores!A:C,3,FALSE)</f>
        <v>0.08</v>
      </c>
      <c r="K30" s="23">
        <f t="shared" si="0"/>
        <v>64114.8</v>
      </c>
    </row>
    <row r="31" spans="1:11" x14ac:dyDescent="0.2">
      <c r="A31" s="1">
        <v>1030</v>
      </c>
      <c r="B31" s="1" t="s">
        <v>4</v>
      </c>
      <c r="C31" s="1" t="str">
        <f>VLOOKUP(B31,Vendedores!A:B,2,TRUE)</f>
        <v>Carlos Silva</v>
      </c>
      <c r="D31" s="1" t="str">
        <f>_xlfn.XLOOKUP(B31,Vendedores!A:A,Vendedores!D:D)</f>
        <v>Marcelo Alves</v>
      </c>
      <c r="E31" s="1">
        <f>MATCH(B31,Vendedores!A:A)</f>
        <v>2</v>
      </c>
      <c r="F31" s="1" t="str" cm="1">
        <f t="array" ref="F31">INDEX(Vendedores!E:E,Vendas!E31)</f>
        <v>Maringá</v>
      </c>
      <c r="G31" s="1" t="str">
        <f>INDEX(Vendedores!E:E, MATCH(Vendas!B31,Vendedores!A:A))</f>
        <v>Maringá</v>
      </c>
      <c r="H31" s="2">
        <v>46051</v>
      </c>
      <c r="I31" s="4">
        <v>1973.91</v>
      </c>
      <c r="J31" s="16">
        <f>VLOOKUP(B31,Vendedores!A:C,3,FALSE)</f>
        <v>0.08</v>
      </c>
      <c r="K31" s="23">
        <f t="shared" si="0"/>
        <v>157.9128</v>
      </c>
    </row>
    <row r="32" spans="1:11" x14ac:dyDescent="0.2">
      <c r="A32" s="1">
        <v>1031</v>
      </c>
      <c r="B32" s="1" t="s">
        <v>5</v>
      </c>
      <c r="C32" s="1" t="str">
        <f>VLOOKUP(B32,Vendedores!A:B,2,TRUE)</f>
        <v>Ana Souza</v>
      </c>
      <c r="D32" s="1" t="str">
        <f>_xlfn.XLOOKUP(B32,Vendedores!A:A,Vendedores!D:D)</f>
        <v>Marcelo Alves</v>
      </c>
      <c r="E32" s="1">
        <f>MATCH(B32,Vendedores!A:A)</f>
        <v>3</v>
      </c>
      <c r="F32" s="1" t="str" cm="1">
        <f t="array" ref="F32">INDEX(Vendedores!E:E,Vendas!E32)</f>
        <v>Maringá</v>
      </c>
      <c r="G32" s="1" t="str">
        <f>INDEX(Vendedores!E:E, MATCH(Vendas!B32,Vendedores!A:A))</f>
        <v>Maringá</v>
      </c>
      <c r="H32" s="2">
        <v>46032</v>
      </c>
      <c r="I32" s="4">
        <v>3148.65</v>
      </c>
      <c r="J32" s="16">
        <f>VLOOKUP(B32,Vendedores!A:C,3,FALSE)</f>
        <v>0.08</v>
      </c>
      <c r="K32" s="23">
        <f t="shared" si="0"/>
        <v>251.89200000000002</v>
      </c>
    </row>
    <row r="33" spans="1:11" x14ac:dyDescent="0.2">
      <c r="A33" s="1">
        <v>1032</v>
      </c>
      <c r="B33" s="1" t="s">
        <v>4</v>
      </c>
      <c r="C33" s="1" t="str">
        <f>VLOOKUP(B33,Vendedores!A:B,2,TRUE)</f>
        <v>Carlos Silva</v>
      </c>
      <c r="D33" s="1" t="str">
        <f>_xlfn.XLOOKUP(B33,Vendedores!A:A,Vendedores!D:D)</f>
        <v>Marcelo Alves</v>
      </c>
      <c r="E33" s="1">
        <f>MATCH(B33,Vendedores!A:A)</f>
        <v>2</v>
      </c>
      <c r="F33" s="1" t="str" cm="1">
        <f t="array" ref="F33">INDEX(Vendedores!E:E,Vendas!E33)</f>
        <v>Maringá</v>
      </c>
      <c r="G33" s="1" t="str">
        <f>INDEX(Vendedores!E:E, MATCH(Vendas!B33,Vendedores!A:A))</f>
        <v>Maringá</v>
      </c>
      <c r="H33" s="2">
        <v>46086</v>
      </c>
      <c r="I33" s="4">
        <v>2635.83</v>
      </c>
      <c r="J33" s="16">
        <f>VLOOKUP(B33,Vendedores!A:C,3,FALSE)</f>
        <v>0.08</v>
      </c>
      <c r="K33" s="23">
        <f t="shared" si="0"/>
        <v>210.8664</v>
      </c>
    </row>
    <row r="34" spans="1:11" x14ac:dyDescent="0.2">
      <c r="A34" s="1">
        <v>1033</v>
      </c>
      <c r="B34" s="1" t="s">
        <v>5</v>
      </c>
      <c r="C34" s="1" t="str">
        <f>VLOOKUP(B34,Vendedores!A:B,2,TRUE)</f>
        <v>Ana Souza</v>
      </c>
      <c r="D34" s="1" t="str">
        <f>_xlfn.XLOOKUP(B34,Vendedores!A:A,Vendedores!D:D)</f>
        <v>Marcelo Alves</v>
      </c>
      <c r="E34" s="1">
        <f>MATCH(B34,Vendedores!A:A)</f>
        <v>3</v>
      </c>
      <c r="F34" s="1" t="str" cm="1">
        <f t="array" ref="F34">INDEX(Vendedores!E:E,Vendas!E34)</f>
        <v>Maringá</v>
      </c>
      <c r="G34" s="1" t="str">
        <f>INDEX(Vendedores!E:E, MATCH(Vendas!B34,Vendedores!A:A))</f>
        <v>Maringá</v>
      </c>
      <c r="H34" s="2">
        <v>46091</v>
      </c>
      <c r="I34" s="4">
        <v>486.29</v>
      </c>
      <c r="J34" s="16">
        <f>VLOOKUP(B34,Vendedores!A:C,3,FALSE)</f>
        <v>0.08</v>
      </c>
      <c r="K34" s="23">
        <f t="shared" si="0"/>
        <v>38.903200000000005</v>
      </c>
    </row>
    <row r="35" spans="1:11" x14ac:dyDescent="0.2">
      <c r="A35" s="1">
        <v>1034</v>
      </c>
      <c r="B35" s="1" t="s">
        <v>8</v>
      </c>
      <c r="C35" s="1" t="str">
        <f>VLOOKUP(B35,Vendedores!A:B,2,TRUE)</f>
        <v>Juliana Lima</v>
      </c>
      <c r="D35" s="1" t="str">
        <f>_xlfn.XLOOKUP(B35,Vendedores!A:A,Vendedores!D:D)</f>
        <v>Rogério Araujo</v>
      </c>
      <c r="E35" s="1">
        <f>MATCH(B35,Vendedores!A:A)</f>
        <v>5</v>
      </c>
      <c r="F35" s="1" t="str" cm="1">
        <f t="array" ref="F35">INDEX(Vendedores!E:E,Vendas!E35)</f>
        <v>Curitiba</v>
      </c>
      <c r="G35" s="1" t="str">
        <f>INDEX(Vendedores!E:E, MATCH(Vendas!B35,Vendedores!A:A))</f>
        <v>Curitiba</v>
      </c>
      <c r="H35" s="2">
        <v>46059</v>
      </c>
      <c r="I35" s="4">
        <v>1704.14</v>
      </c>
      <c r="J35" s="16">
        <f>VLOOKUP(B35,Vendedores!A:C,3,FALSE)</f>
        <v>0.1</v>
      </c>
      <c r="K35" s="23">
        <f t="shared" si="0"/>
        <v>170.41400000000002</v>
      </c>
    </row>
    <row r="36" spans="1:11" x14ac:dyDescent="0.2">
      <c r="A36" s="1">
        <v>1035</v>
      </c>
      <c r="B36" s="1" t="s">
        <v>5</v>
      </c>
      <c r="C36" s="1" t="str">
        <f>VLOOKUP(B36,Vendedores!A:B,2,TRUE)</f>
        <v>Ana Souza</v>
      </c>
      <c r="D36" s="1" t="str">
        <f>_xlfn.XLOOKUP(B36,Vendedores!A:A,Vendedores!D:D)</f>
        <v>Marcelo Alves</v>
      </c>
      <c r="E36" s="1">
        <f>MATCH(B36,Vendedores!A:A)</f>
        <v>3</v>
      </c>
      <c r="F36" s="1" t="str" cm="1">
        <f t="array" ref="F36">INDEX(Vendedores!E:E,Vendas!E36)</f>
        <v>Maringá</v>
      </c>
      <c r="G36" s="1" t="str">
        <f>INDEX(Vendedores!E:E, MATCH(Vendas!B36,Vendedores!A:A))</f>
        <v>Maringá</v>
      </c>
      <c r="H36" s="2">
        <v>46095</v>
      </c>
      <c r="I36" s="4">
        <v>2499.64</v>
      </c>
      <c r="J36" s="16">
        <f>VLOOKUP(B36,Vendedores!A:C,3,FALSE)</f>
        <v>0.08</v>
      </c>
      <c r="K36" s="23">
        <f t="shared" si="0"/>
        <v>199.97119999999998</v>
      </c>
    </row>
    <row r="37" spans="1:11" x14ac:dyDescent="0.2">
      <c r="A37" s="1">
        <v>1036</v>
      </c>
      <c r="B37" s="1" t="s">
        <v>4</v>
      </c>
      <c r="C37" s="1" t="str">
        <f>VLOOKUP(B37,Vendedores!A:B,2,TRUE)</f>
        <v>Carlos Silva</v>
      </c>
      <c r="D37" s="1" t="str">
        <f>_xlfn.XLOOKUP(B37,Vendedores!A:A,Vendedores!D:D)</f>
        <v>Marcelo Alves</v>
      </c>
      <c r="E37" s="1">
        <f>MATCH(B37,Vendedores!A:A)</f>
        <v>2</v>
      </c>
      <c r="F37" s="1" t="str" cm="1">
        <f t="array" ref="F37">INDEX(Vendedores!E:E,Vendas!E37)</f>
        <v>Maringá</v>
      </c>
      <c r="G37" s="1" t="str">
        <f>INDEX(Vendedores!E:E, MATCH(Vendas!B37,Vendedores!A:A))</f>
        <v>Maringá</v>
      </c>
      <c r="H37" s="2">
        <v>46097</v>
      </c>
      <c r="I37" s="4">
        <v>3687.97</v>
      </c>
      <c r="J37" s="16">
        <f>VLOOKUP(B37,Vendedores!A:C,3,FALSE)</f>
        <v>0.08</v>
      </c>
      <c r="K37" s="23">
        <f t="shared" si="0"/>
        <v>295.0376</v>
      </c>
    </row>
    <row r="38" spans="1:11" x14ac:dyDescent="0.2">
      <c r="A38" s="1">
        <v>1037</v>
      </c>
      <c r="B38" s="1" t="s">
        <v>7</v>
      </c>
      <c r="C38" s="1" t="str">
        <f>VLOOKUP(B38,Vendedores!A:B,2,TRUE)</f>
        <v>Marcos Oliveira</v>
      </c>
      <c r="D38" s="1" t="str">
        <f>_xlfn.XLOOKUP(B38,Vendedores!A:A,Vendedores!D:D)</f>
        <v>Antonio Silva</v>
      </c>
      <c r="E38" s="1">
        <f>MATCH(B38,Vendedores!A:A)</f>
        <v>4</v>
      </c>
      <c r="F38" s="1" t="str" cm="1">
        <f t="array" ref="F38">INDEX(Vendedores!E:E,Vendas!E38)</f>
        <v>Apucarana</v>
      </c>
      <c r="G38" s="1" t="str">
        <f>INDEX(Vendedores!E:E, MATCH(Vendas!B38,Vendedores!A:A))</f>
        <v>Apucarana</v>
      </c>
      <c r="H38" s="2">
        <v>46099</v>
      </c>
      <c r="I38" s="4">
        <v>3007.83</v>
      </c>
      <c r="J38" s="16">
        <f>VLOOKUP(B38,Vendedores!A:C,3,FALSE)</f>
        <v>0.15</v>
      </c>
      <c r="K38" s="23">
        <f t="shared" si="0"/>
        <v>451.17449999999997</v>
      </c>
    </row>
    <row r="39" spans="1:11" x14ac:dyDescent="0.2">
      <c r="A39" s="1">
        <v>1038</v>
      </c>
      <c r="B39" s="1" t="s">
        <v>5</v>
      </c>
      <c r="C39" s="1" t="str">
        <f>VLOOKUP(B39,Vendedores!A:B,2,TRUE)</f>
        <v>Ana Souza</v>
      </c>
      <c r="D39" s="1" t="str">
        <f>_xlfn.XLOOKUP(B39,Vendedores!A:A,Vendedores!D:D)</f>
        <v>Marcelo Alves</v>
      </c>
      <c r="E39" s="1">
        <f>MATCH(B39,Vendedores!A:A)</f>
        <v>3</v>
      </c>
      <c r="F39" s="1" t="str" cm="1">
        <f t="array" ref="F39">INDEX(Vendedores!E:E,Vendas!E39)</f>
        <v>Maringá</v>
      </c>
      <c r="G39" s="1" t="str">
        <f>INDEX(Vendedores!E:E, MATCH(Vendas!B39,Vendedores!A:A))</f>
        <v>Maringá</v>
      </c>
      <c r="H39" s="2">
        <v>46055</v>
      </c>
      <c r="I39" s="4">
        <v>3302.26</v>
      </c>
      <c r="J39" s="16">
        <f>VLOOKUP(B39,Vendedores!A:C,3,FALSE)</f>
        <v>0.08</v>
      </c>
      <c r="K39" s="23">
        <f t="shared" si="0"/>
        <v>264.18080000000003</v>
      </c>
    </row>
    <row r="40" spans="1:11" x14ac:dyDescent="0.2">
      <c r="A40" s="1">
        <v>1039</v>
      </c>
      <c r="B40" s="1" t="s">
        <v>7</v>
      </c>
      <c r="C40" s="1" t="str">
        <f>VLOOKUP(B40,Vendedores!A:B,2,TRUE)</f>
        <v>Marcos Oliveira</v>
      </c>
      <c r="D40" s="1" t="str">
        <f>_xlfn.XLOOKUP(B40,Vendedores!A:A,Vendedores!D:D)</f>
        <v>Antonio Silva</v>
      </c>
      <c r="E40" s="1">
        <f>MATCH(B40,Vendedores!A:A)</f>
        <v>4</v>
      </c>
      <c r="F40" s="1" t="str" cm="1">
        <f t="array" ref="F40">INDEX(Vendedores!E:E,Vendas!E40)</f>
        <v>Apucarana</v>
      </c>
      <c r="G40" s="1" t="str">
        <f>INDEX(Vendedores!E:E, MATCH(Vendas!B40,Vendedores!A:A))</f>
        <v>Apucarana</v>
      </c>
      <c r="H40" s="2">
        <v>46077</v>
      </c>
      <c r="I40" s="4">
        <v>3723.27</v>
      </c>
      <c r="J40" s="16">
        <f>VLOOKUP(B40,Vendedores!A:C,3,FALSE)</f>
        <v>0.15</v>
      </c>
      <c r="K40" s="23">
        <f t="shared" si="0"/>
        <v>558.4905</v>
      </c>
    </row>
    <row r="41" spans="1:11" x14ac:dyDescent="0.2">
      <c r="A41" s="1">
        <v>1040</v>
      </c>
      <c r="B41" s="1" t="s">
        <v>8</v>
      </c>
      <c r="C41" s="1" t="str">
        <f>VLOOKUP(B41,Vendedores!A:B,2,TRUE)</f>
        <v>Juliana Lima</v>
      </c>
      <c r="D41" s="1" t="str">
        <f>_xlfn.XLOOKUP(B41,Vendedores!A:A,Vendedores!D:D)</f>
        <v>Rogério Araujo</v>
      </c>
      <c r="E41" s="1">
        <f>MATCH(B41,Vendedores!A:A)</f>
        <v>5</v>
      </c>
      <c r="F41" s="1" t="str" cm="1">
        <f t="array" ref="F41">INDEX(Vendedores!E:E,Vendas!E41)</f>
        <v>Curitiba</v>
      </c>
      <c r="G41" s="1" t="str">
        <f>INDEX(Vendedores!E:E, MATCH(Vendas!B41,Vendedores!A:A))</f>
        <v>Curitiba</v>
      </c>
      <c r="H41" s="2">
        <v>46063</v>
      </c>
      <c r="I41" s="4">
        <v>1234.3399999999999</v>
      </c>
      <c r="J41" s="16">
        <f>VLOOKUP(B41,Vendedores!A:C,3,FALSE)</f>
        <v>0.1</v>
      </c>
      <c r="K41" s="23">
        <f t="shared" si="0"/>
        <v>123.434</v>
      </c>
    </row>
    <row r="42" spans="1:11" x14ac:dyDescent="0.2">
      <c r="A42" s="1">
        <v>1041</v>
      </c>
      <c r="B42" s="1" t="s">
        <v>7</v>
      </c>
      <c r="C42" s="1" t="str">
        <f>VLOOKUP(B42,Vendedores!A:B,2,TRUE)</f>
        <v>Marcos Oliveira</v>
      </c>
      <c r="D42" s="1" t="str">
        <f>_xlfn.XLOOKUP(B42,Vendedores!A:A,Vendedores!D:D)</f>
        <v>Antonio Silva</v>
      </c>
      <c r="E42" s="1">
        <f>MATCH(B42,Vendedores!A:A)</f>
        <v>4</v>
      </c>
      <c r="F42" s="1" t="str" cm="1">
        <f t="array" ref="F42">INDEX(Vendedores!E:E,Vendas!E42)</f>
        <v>Apucarana</v>
      </c>
      <c r="G42" s="1" t="str">
        <f>INDEX(Vendedores!E:E, MATCH(Vendas!B42,Vendedores!A:A))</f>
        <v>Apucarana</v>
      </c>
      <c r="H42" s="2">
        <v>46105</v>
      </c>
      <c r="I42" s="4">
        <v>2073.4899999999998</v>
      </c>
      <c r="J42" s="16">
        <f>VLOOKUP(B42,Vendedores!A:C,3,FALSE)</f>
        <v>0.15</v>
      </c>
      <c r="K42" s="23">
        <f t="shared" si="0"/>
        <v>311.02349999999996</v>
      </c>
    </row>
    <row r="43" spans="1:11" x14ac:dyDescent="0.2">
      <c r="A43" s="1">
        <v>1042</v>
      </c>
      <c r="B43" s="1" t="s">
        <v>6</v>
      </c>
      <c r="C43" s="1" t="str">
        <f>VLOOKUP(B43,Vendedores!A:B,2,TRUE)</f>
        <v>Marcio Costa</v>
      </c>
      <c r="D43" s="1" t="str">
        <f>_xlfn.XLOOKUP(B43,Vendedores!A:A,Vendedores!D:D)</f>
        <v>Rogério Araujo</v>
      </c>
      <c r="E43" s="1">
        <f>MATCH(B43,Vendedores!A:A)</f>
        <v>6</v>
      </c>
      <c r="F43" s="1" t="str" cm="1">
        <f t="array" ref="F43">INDEX(Vendedores!E:E,Vendas!E43)</f>
        <v>São Paulo</v>
      </c>
      <c r="G43" s="1" t="str">
        <f>INDEX(Vendedores!E:E, MATCH(Vendas!B43,Vendedores!A:A))</f>
        <v>São Paulo</v>
      </c>
      <c r="H43" s="2">
        <v>46088</v>
      </c>
      <c r="I43" s="4">
        <v>1780.08</v>
      </c>
      <c r="J43" s="16">
        <f>VLOOKUP(B43,Vendedores!A:C,3,FALSE)</f>
        <v>0.04</v>
      </c>
      <c r="K43" s="23">
        <f t="shared" si="0"/>
        <v>71.203199999999995</v>
      </c>
    </row>
    <row r="44" spans="1:11" x14ac:dyDescent="0.2">
      <c r="A44" s="1">
        <v>1043</v>
      </c>
      <c r="B44" s="1" t="s">
        <v>6</v>
      </c>
      <c r="C44" s="1" t="str">
        <f>VLOOKUP(B44,Vendedores!A:B,2,TRUE)</f>
        <v>Marcio Costa</v>
      </c>
      <c r="D44" s="1" t="str">
        <f>_xlfn.XLOOKUP(B44,Vendedores!A:A,Vendedores!D:D)</f>
        <v>Rogério Araujo</v>
      </c>
      <c r="E44" s="1">
        <f>MATCH(B44,Vendedores!A:A)</f>
        <v>6</v>
      </c>
      <c r="F44" s="1" t="str" cm="1">
        <f t="array" ref="F44">INDEX(Vendedores!E:E,Vendas!E44)</f>
        <v>São Paulo</v>
      </c>
      <c r="G44" s="1" t="str">
        <f>INDEX(Vendedores!E:E, MATCH(Vendas!B44,Vendedores!A:A))</f>
        <v>São Paulo</v>
      </c>
      <c r="H44" s="2">
        <v>46065</v>
      </c>
      <c r="I44" s="4">
        <v>2841.49</v>
      </c>
      <c r="J44" s="16">
        <f>VLOOKUP(B44,Vendedores!A:C,3,FALSE)</f>
        <v>0.04</v>
      </c>
      <c r="K44" s="23">
        <f t="shared" si="0"/>
        <v>113.6596</v>
      </c>
    </row>
    <row r="45" spans="1:11" x14ac:dyDescent="0.2">
      <c r="A45" s="1">
        <v>1044</v>
      </c>
      <c r="B45" s="1" t="s">
        <v>5</v>
      </c>
      <c r="C45" s="1" t="str">
        <f>VLOOKUP(B45,Vendedores!A:B,2,TRUE)</f>
        <v>Ana Souza</v>
      </c>
      <c r="D45" s="1" t="str">
        <f>_xlfn.XLOOKUP(B45,Vendedores!A:A,Vendedores!D:D)</f>
        <v>Marcelo Alves</v>
      </c>
      <c r="E45" s="1">
        <f>MATCH(B45,Vendedores!A:A)</f>
        <v>3</v>
      </c>
      <c r="F45" s="1" t="str" cm="1">
        <f t="array" ref="F45">INDEX(Vendedores!E:E,Vendas!E45)</f>
        <v>Maringá</v>
      </c>
      <c r="G45" s="1" t="str">
        <f>INDEX(Vendedores!E:E, MATCH(Vendas!B45,Vendedores!A:A))</f>
        <v>Maringá</v>
      </c>
      <c r="H45" s="2">
        <v>46039</v>
      </c>
      <c r="I45" s="4">
        <v>4403.4399999999996</v>
      </c>
      <c r="J45" s="16">
        <f>VLOOKUP(B45,Vendedores!A:C,3,FALSE)</f>
        <v>0.08</v>
      </c>
      <c r="K45" s="23">
        <f t="shared" si="0"/>
        <v>352.27519999999998</v>
      </c>
    </row>
    <row r="46" spans="1:11" x14ac:dyDescent="0.2">
      <c r="A46" s="1">
        <v>1045</v>
      </c>
      <c r="B46" s="1" t="s">
        <v>6</v>
      </c>
      <c r="C46" s="1" t="str">
        <f>VLOOKUP(B46,Vendedores!A:B,2,TRUE)</f>
        <v>Marcio Costa</v>
      </c>
      <c r="D46" s="1" t="str">
        <f>_xlfn.XLOOKUP(B46,Vendedores!A:A,Vendedores!D:D)</f>
        <v>Rogério Araujo</v>
      </c>
      <c r="E46" s="1">
        <f>MATCH(B46,Vendedores!A:A)</f>
        <v>6</v>
      </c>
      <c r="F46" s="1" t="str" cm="1">
        <f t="array" ref="F46">INDEX(Vendedores!E:E,Vendas!E46)</f>
        <v>São Paulo</v>
      </c>
      <c r="G46" s="1" t="str">
        <f>INDEX(Vendedores!E:E, MATCH(Vendas!B46,Vendedores!A:A))</f>
        <v>São Paulo</v>
      </c>
      <c r="H46" s="2">
        <v>46088</v>
      </c>
      <c r="I46" s="4">
        <v>3134.42</v>
      </c>
      <c r="J46" s="16">
        <f>VLOOKUP(B46,Vendedores!A:C,3,FALSE)</f>
        <v>0.04</v>
      </c>
      <c r="K46" s="23">
        <f t="shared" si="0"/>
        <v>125.3768</v>
      </c>
    </row>
    <row r="47" spans="1:11" x14ac:dyDescent="0.2">
      <c r="A47" s="1">
        <v>1046</v>
      </c>
      <c r="B47" s="1" t="s">
        <v>5</v>
      </c>
      <c r="C47" s="1" t="str">
        <f>VLOOKUP(B47,Vendedores!A:B,2,TRUE)</f>
        <v>Ana Souza</v>
      </c>
      <c r="D47" s="1" t="str">
        <f>_xlfn.XLOOKUP(B47,Vendedores!A:A,Vendedores!D:D)</f>
        <v>Marcelo Alves</v>
      </c>
      <c r="E47" s="1">
        <f>MATCH(B47,Vendedores!A:A)</f>
        <v>3</v>
      </c>
      <c r="F47" s="1" t="str" cm="1">
        <f t="array" ref="F47">INDEX(Vendedores!E:E,Vendas!E47)</f>
        <v>Maringá</v>
      </c>
      <c r="G47" s="1" t="str">
        <f>INDEX(Vendedores!E:E, MATCH(Vendas!B47,Vendedores!A:A))</f>
        <v>Maringá</v>
      </c>
      <c r="H47" s="2">
        <v>46073</v>
      </c>
      <c r="I47" s="4">
        <v>3329.87</v>
      </c>
      <c r="J47" s="16">
        <f>VLOOKUP(B47,Vendedores!A:C,3,FALSE)</f>
        <v>0.08</v>
      </c>
      <c r="K47" s="23">
        <f t="shared" si="0"/>
        <v>266.38959999999997</v>
      </c>
    </row>
    <row r="48" spans="1:11" x14ac:dyDescent="0.2">
      <c r="A48" s="1">
        <v>1047</v>
      </c>
      <c r="B48" s="1" t="s">
        <v>6</v>
      </c>
      <c r="C48" s="1" t="str">
        <f>VLOOKUP(B48,Vendedores!A:B,2,TRUE)</f>
        <v>Marcio Costa</v>
      </c>
      <c r="D48" s="1" t="str">
        <f>_xlfn.XLOOKUP(B48,Vendedores!A:A,Vendedores!D:D)</f>
        <v>Rogério Araujo</v>
      </c>
      <c r="E48" s="1">
        <f>MATCH(B48,Vendedores!A:A)</f>
        <v>6</v>
      </c>
      <c r="F48" s="1" t="str" cm="1">
        <f t="array" ref="F48">INDEX(Vendedores!E:E,Vendas!E48)</f>
        <v>São Paulo</v>
      </c>
      <c r="G48" s="1" t="str">
        <f>INDEX(Vendedores!E:E, MATCH(Vendas!B48,Vendedores!A:A))</f>
        <v>São Paulo</v>
      </c>
      <c r="H48" s="2">
        <v>46102</v>
      </c>
      <c r="I48" s="4">
        <v>1144.1500000000001</v>
      </c>
      <c r="J48" s="16">
        <f>VLOOKUP(B48,Vendedores!A:C,3,FALSE)</f>
        <v>0.04</v>
      </c>
      <c r="K48" s="23">
        <f t="shared" si="0"/>
        <v>45.766000000000005</v>
      </c>
    </row>
    <row r="49" spans="1:11" x14ac:dyDescent="0.2">
      <c r="A49" s="1">
        <v>1048</v>
      </c>
      <c r="B49" s="1" t="s">
        <v>5</v>
      </c>
      <c r="C49" s="1" t="str">
        <f>VLOOKUP(B49,Vendedores!A:B,2,TRUE)</f>
        <v>Ana Souza</v>
      </c>
      <c r="D49" s="1" t="str">
        <f>_xlfn.XLOOKUP(B49,Vendedores!A:A,Vendedores!D:D)</f>
        <v>Marcelo Alves</v>
      </c>
      <c r="E49" s="1">
        <f>MATCH(B49,Vendedores!A:A)</f>
        <v>3</v>
      </c>
      <c r="F49" s="1" t="str" cm="1">
        <f t="array" ref="F49">INDEX(Vendedores!E:E,Vendas!E49)</f>
        <v>Maringá</v>
      </c>
      <c r="G49" s="1" t="str">
        <f>INDEX(Vendedores!E:E, MATCH(Vendas!B49,Vendedores!A:A))</f>
        <v>Maringá</v>
      </c>
      <c r="H49" s="2">
        <v>46105</v>
      </c>
      <c r="I49" s="4">
        <v>1953.51</v>
      </c>
      <c r="J49" s="16">
        <f>VLOOKUP(B49,Vendedores!A:C,3,FALSE)</f>
        <v>0.08</v>
      </c>
      <c r="K49" s="23">
        <f t="shared" si="0"/>
        <v>156.2808</v>
      </c>
    </row>
    <row r="50" spans="1:11" x14ac:dyDescent="0.2">
      <c r="A50" s="1">
        <v>1049</v>
      </c>
      <c r="B50" s="1" t="s">
        <v>6</v>
      </c>
      <c r="C50" s="1" t="str">
        <f>VLOOKUP(B50,Vendedores!A:B,2,TRUE)</f>
        <v>Marcio Costa</v>
      </c>
      <c r="D50" s="1" t="str">
        <f>_xlfn.XLOOKUP(B50,Vendedores!A:A,Vendedores!D:D)</f>
        <v>Rogério Araujo</v>
      </c>
      <c r="E50" s="1">
        <f>MATCH(B50,Vendedores!A:A)</f>
        <v>6</v>
      </c>
      <c r="F50" s="1" t="str" cm="1">
        <f t="array" ref="F50">INDEX(Vendedores!E:E,Vendas!E50)</f>
        <v>São Paulo</v>
      </c>
      <c r="G50" s="1" t="str">
        <f>INDEX(Vendedores!E:E, MATCH(Vendas!B50,Vendedores!A:A))</f>
        <v>São Paulo</v>
      </c>
      <c r="H50" s="2">
        <v>46030</v>
      </c>
      <c r="I50" s="4">
        <v>2119.5300000000002</v>
      </c>
      <c r="J50" s="16">
        <f>VLOOKUP(B50,Vendedores!A:C,3,FALSE)</f>
        <v>0.04</v>
      </c>
      <c r="K50" s="23">
        <f t="shared" si="0"/>
        <v>84.781200000000013</v>
      </c>
    </row>
    <row r="51" spans="1:11" x14ac:dyDescent="0.2">
      <c r="A51" s="1">
        <v>1050</v>
      </c>
      <c r="B51" s="1" t="s">
        <v>6</v>
      </c>
      <c r="C51" s="1" t="str">
        <f>VLOOKUP(B51,Vendedores!A:B,2,TRUE)</f>
        <v>Marcio Costa</v>
      </c>
      <c r="D51" s="1" t="str">
        <f>_xlfn.XLOOKUP(B51,Vendedores!A:A,Vendedores!D:D)</f>
        <v>Rogério Araujo</v>
      </c>
      <c r="E51" s="1">
        <f>MATCH(B51,Vendedores!A:A)</f>
        <v>6</v>
      </c>
      <c r="F51" s="1" t="str" cm="1">
        <f t="array" ref="F51">INDEX(Vendedores!E:E,Vendas!E51)</f>
        <v>São Paulo</v>
      </c>
      <c r="G51" s="1" t="str">
        <f>INDEX(Vendedores!E:E, MATCH(Vendas!B51,Vendedores!A:A))</f>
        <v>São Paulo</v>
      </c>
      <c r="H51" s="2">
        <v>46036</v>
      </c>
      <c r="I51" s="4">
        <v>3577.62</v>
      </c>
      <c r="J51" s="16">
        <f>VLOOKUP(B51,Vendedores!A:C,3,FALSE)</f>
        <v>0.04</v>
      </c>
      <c r="K51" s="23">
        <f t="shared" si="0"/>
        <v>143.10480000000001</v>
      </c>
    </row>
    <row r="52" spans="1:11" x14ac:dyDescent="0.2">
      <c r="A52" s="1">
        <v>1051</v>
      </c>
      <c r="B52" s="1" t="s">
        <v>4</v>
      </c>
      <c r="C52" s="1" t="str">
        <f>VLOOKUP(B52,Vendedores!A:B,2,TRUE)</f>
        <v>Carlos Silva</v>
      </c>
      <c r="D52" s="1" t="str">
        <f>_xlfn.XLOOKUP(B52,Vendedores!A:A,Vendedores!D:D)</f>
        <v>Marcelo Alves</v>
      </c>
      <c r="E52" s="1">
        <f>MATCH(B52,Vendedores!A:A)</f>
        <v>2</v>
      </c>
      <c r="F52" s="1" t="str" cm="1">
        <f t="array" ref="F52">INDEX(Vendedores!E:E,Vendas!E52)</f>
        <v>Maringá</v>
      </c>
      <c r="G52" s="1" t="str">
        <f>INDEX(Vendedores!E:E, MATCH(Vendas!B52,Vendedores!A:A))</f>
        <v>Maringá</v>
      </c>
      <c r="H52" s="2">
        <v>46033</v>
      </c>
      <c r="I52" s="4">
        <v>2737.93</v>
      </c>
      <c r="J52" s="16">
        <f>VLOOKUP(B52,Vendedores!A:C,3,FALSE)</f>
        <v>0.08</v>
      </c>
      <c r="K52" s="23">
        <f t="shared" si="0"/>
        <v>219.03440000000001</v>
      </c>
    </row>
    <row r="53" spans="1:11" x14ac:dyDescent="0.2">
      <c r="A53" s="1">
        <v>1052</v>
      </c>
      <c r="B53" s="1" t="s">
        <v>8</v>
      </c>
      <c r="C53" s="1" t="str">
        <f>VLOOKUP(B53,Vendedores!A:B,2,TRUE)</f>
        <v>Juliana Lima</v>
      </c>
      <c r="D53" s="1" t="str">
        <f>_xlfn.XLOOKUP(B53,Vendedores!A:A,Vendedores!D:D)</f>
        <v>Rogério Araujo</v>
      </c>
      <c r="E53" s="1">
        <f>MATCH(B53,Vendedores!A:A)</f>
        <v>5</v>
      </c>
      <c r="F53" s="1" t="str" cm="1">
        <f t="array" ref="F53">INDEX(Vendedores!E:E,Vendas!E53)</f>
        <v>Curitiba</v>
      </c>
      <c r="G53" s="1" t="str">
        <f>INDEX(Vendedores!E:E, MATCH(Vendas!B53,Vendedores!A:A))</f>
        <v>Curitiba</v>
      </c>
      <c r="H53" s="2">
        <v>46054</v>
      </c>
      <c r="I53" s="4">
        <v>1151.78</v>
      </c>
      <c r="J53" s="16">
        <f>VLOOKUP(B53,Vendedores!A:C,3,FALSE)</f>
        <v>0.1</v>
      </c>
      <c r="K53" s="23">
        <f t="shared" si="0"/>
        <v>115.178</v>
      </c>
    </row>
    <row r="54" spans="1:11" x14ac:dyDescent="0.2">
      <c r="A54" s="1">
        <v>1053</v>
      </c>
      <c r="B54" s="1" t="s">
        <v>5</v>
      </c>
      <c r="C54" s="1" t="str">
        <f>VLOOKUP(B54,Vendedores!A:B,2,TRUE)</f>
        <v>Ana Souza</v>
      </c>
      <c r="D54" s="1" t="str">
        <f>_xlfn.XLOOKUP(B54,Vendedores!A:A,Vendedores!D:D)</f>
        <v>Marcelo Alves</v>
      </c>
      <c r="E54" s="1">
        <f>MATCH(B54,Vendedores!A:A)</f>
        <v>3</v>
      </c>
      <c r="F54" s="1" t="str" cm="1">
        <f t="array" ref="F54">INDEX(Vendedores!E:E,Vendas!E54)</f>
        <v>Maringá</v>
      </c>
      <c r="G54" s="1" t="str">
        <f>INDEX(Vendedores!E:E, MATCH(Vendas!B54,Vendedores!A:A))</f>
        <v>Maringá</v>
      </c>
      <c r="H54" s="2">
        <v>46066</v>
      </c>
      <c r="I54" s="4">
        <v>2931.39</v>
      </c>
      <c r="J54" s="16">
        <f>VLOOKUP(B54,Vendedores!A:C,3,FALSE)</f>
        <v>0.08</v>
      </c>
      <c r="K54" s="23">
        <f t="shared" si="0"/>
        <v>234.5112</v>
      </c>
    </row>
    <row r="55" spans="1:11" x14ac:dyDescent="0.2">
      <c r="A55" s="1">
        <v>1054</v>
      </c>
      <c r="B55" s="1" t="s">
        <v>5</v>
      </c>
      <c r="C55" s="1" t="str">
        <f>VLOOKUP(B55,Vendedores!A:B,2,TRUE)</f>
        <v>Ana Souza</v>
      </c>
      <c r="D55" s="1" t="str">
        <f>_xlfn.XLOOKUP(B55,Vendedores!A:A,Vendedores!D:D)</f>
        <v>Marcelo Alves</v>
      </c>
      <c r="E55" s="1">
        <f>MATCH(B55,Vendedores!A:A)</f>
        <v>3</v>
      </c>
      <c r="F55" s="1" t="str" cm="1">
        <f t="array" ref="F55">INDEX(Vendedores!E:E,Vendas!E55)</f>
        <v>Maringá</v>
      </c>
      <c r="G55" s="1" t="str">
        <f>INDEX(Vendedores!E:E, MATCH(Vendas!B55,Vendedores!A:A))</f>
        <v>Maringá</v>
      </c>
      <c r="H55" s="2">
        <v>46058</v>
      </c>
      <c r="I55" s="4">
        <v>2489.2800000000002</v>
      </c>
      <c r="J55" s="16">
        <f>VLOOKUP(B55,Vendedores!A:C,3,FALSE)</f>
        <v>0.08</v>
      </c>
      <c r="K55" s="23">
        <f t="shared" si="0"/>
        <v>199.14240000000001</v>
      </c>
    </row>
    <row r="56" spans="1:11" x14ac:dyDescent="0.2">
      <c r="A56" s="1">
        <v>1055</v>
      </c>
      <c r="B56" s="1" t="s">
        <v>5</v>
      </c>
      <c r="C56" s="1" t="str">
        <f>VLOOKUP(B56,Vendedores!A:B,2,TRUE)</f>
        <v>Ana Souza</v>
      </c>
      <c r="D56" s="1" t="str">
        <f>_xlfn.XLOOKUP(B56,Vendedores!A:A,Vendedores!D:D)</f>
        <v>Marcelo Alves</v>
      </c>
      <c r="E56" s="1">
        <f>MATCH(B56,Vendedores!A:A)</f>
        <v>3</v>
      </c>
      <c r="F56" s="1" t="str" cm="1">
        <f t="array" ref="F56">INDEX(Vendedores!E:E,Vendas!E56)</f>
        <v>Maringá</v>
      </c>
      <c r="G56" s="1" t="str">
        <f>INDEX(Vendedores!E:E, MATCH(Vendas!B56,Vendedores!A:A))</f>
        <v>Maringá</v>
      </c>
      <c r="H56" s="2">
        <v>46103</v>
      </c>
      <c r="I56" s="4">
        <v>3055.65</v>
      </c>
      <c r="J56" s="16">
        <f>VLOOKUP(B56,Vendedores!A:C,3,FALSE)</f>
        <v>0.08</v>
      </c>
      <c r="K56" s="23">
        <f t="shared" si="0"/>
        <v>244.452</v>
      </c>
    </row>
    <row r="57" spans="1:11" x14ac:dyDescent="0.2">
      <c r="A57" s="1">
        <v>1056</v>
      </c>
      <c r="B57" s="1" t="s">
        <v>7</v>
      </c>
      <c r="C57" s="1" t="str">
        <f>VLOOKUP(B57,Vendedores!A:B,2,TRUE)</f>
        <v>Marcos Oliveira</v>
      </c>
      <c r="D57" s="1" t="str">
        <f>_xlfn.XLOOKUP(B57,Vendedores!A:A,Vendedores!D:D)</f>
        <v>Antonio Silva</v>
      </c>
      <c r="E57" s="1">
        <f>MATCH(B57,Vendedores!A:A)</f>
        <v>4</v>
      </c>
      <c r="F57" s="1" t="str" cm="1">
        <f t="array" ref="F57">INDEX(Vendedores!E:E,Vendas!E57)</f>
        <v>Apucarana</v>
      </c>
      <c r="G57" s="1" t="str">
        <f>INDEX(Vendedores!E:E, MATCH(Vendas!B57,Vendedores!A:A))</f>
        <v>Apucarana</v>
      </c>
      <c r="H57" s="2">
        <v>46025</v>
      </c>
      <c r="I57" s="4">
        <v>4460.67</v>
      </c>
      <c r="J57" s="16">
        <f>VLOOKUP(B57,Vendedores!A:C,3,FALSE)</f>
        <v>0.15</v>
      </c>
      <c r="K57" s="23">
        <f t="shared" si="0"/>
        <v>669.10050000000001</v>
      </c>
    </row>
    <row r="58" spans="1:11" x14ac:dyDescent="0.2">
      <c r="A58" s="1">
        <v>1057</v>
      </c>
      <c r="B58" s="1" t="s">
        <v>7</v>
      </c>
      <c r="C58" s="1" t="str">
        <f>VLOOKUP(B58,Vendedores!A:B,2,TRUE)</f>
        <v>Marcos Oliveira</v>
      </c>
      <c r="D58" s="1" t="str">
        <f>_xlfn.XLOOKUP(B58,Vendedores!A:A,Vendedores!D:D)</f>
        <v>Antonio Silva</v>
      </c>
      <c r="E58" s="1">
        <f>MATCH(B58,Vendedores!A:A)</f>
        <v>4</v>
      </c>
      <c r="F58" s="1" t="str" cm="1">
        <f t="array" ref="F58">INDEX(Vendedores!E:E,Vendas!E58)</f>
        <v>Apucarana</v>
      </c>
      <c r="G58" s="1" t="str">
        <f>INDEX(Vendedores!E:E, MATCH(Vendas!B58,Vendedores!A:A))</f>
        <v>Apucarana</v>
      </c>
      <c r="H58" s="2">
        <v>46085</v>
      </c>
      <c r="I58" s="4">
        <v>4972.4799999999996</v>
      </c>
      <c r="J58" s="16">
        <f>VLOOKUP(B58,Vendedores!A:C,3,FALSE)</f>
        <v>0.15</v>
      </c>
      <c r="K58" s="23">
        <f t="shared" si="0"/>
        <v>745.87199999999996</v>
      </c>
    </row>
    <row r="59" spans="1:11" x14ac:dyDescent="0.2">
      <c r="A59" s="1">
        <v>1058</v>
      </c>
      <c r="B59" s="1" t="s">
        <v>7</v>
      </c>
      <c r="C59" s="1" t="str">
        <f>VLOOKUP(B59,Vendedores!A:B,2,TRUE)</f>
        <v>Marcos Oliveira</v>
      </c>
      <c r="D59" s="1" t="str">
        <f>_xlfn.XLOOKUP(B59,Vendedores!A:A,Vendedores!D:D)</f>
        <v>Antonio Silva</v>
      </c>
      <c r="E59" s="1">
        <f>MATCH(B59,Vendedores!A:A)</f>
        <v>4</v>
      </c>
      <c r="F59" s="1" t="str" cm="1">
        <f t="array" ref="F59">INDEX(Vendedores!E:E,Vendas!E59)</f>
        <v>Apucarana</v>
      </c>
      <c r="G59" s="1" t="str">
        <f>INDEX(Vendedores!E:E, MATCH(Vendas!B59,Vendedores!A:A))</f>
        <v>Apucarana</v>
      </c>
      <c r="H59" s="2">
        <v>46059</v>
      </c>
      <c r="I59" s="4">
        <v>2901.81</v>
      </c>
      <c r="J59" s="16">
        <f>VLOOKUP(B59,Vendedores!A:C,3,FALSE)</f>
        <v>0.15</v>
      </c>
      <c r="K59" s="23">
        <f t="shared" si="0"/>
        <v>435.2715</v>
      </c>
    </row>
    <row r="60" spans="1:11" x14ac:dyDescent="0.2">
      <c r="A60" s="1">
        <v>1059</v>
      </c>
      <c r="B60" s="1" t="s">
        <v>5</v>
      </c>
      <c r="C60" s="1" t="str">
        <f>VLOOKUP(B60,Vendedores!A:B,2,TRUE)</f>
        <v>Ana Souza</v>
      </c>
      <c r="D60" s="1" t="str">
        <f>_xlfn.XLOOKUP(B60,Vendedores!A:A,Vendedores!D:D)</f>
        <v>Marcelo Alves</v>
      </c>
      <c r="E60" s="1">
        <f>MATCH(B60,Vendedores!A:A)</f>
        <v>3</v>
      </c>
      <c r="F60" s="1" t="str" cm="1">
        <f t="array" ref="F60">INDEX(Vendedores!E:E,Vendas!E60)</f>
        <v>Maringá</v>
      </c>
      <c r="G60" s="1" t="str">
        <f>INDEX(Vendedores!E:E, MATCH(Vendas!B60,Vendedores!A:A))</f>
        <v>Maringá</v>
      </c>
      <c r="H60" s="2">
        <v>46086</v>
      </c>
      <c r="I60" s="4">
        <v>2074.83</v>
      </c>
      <c r="J60" s="16">
        <f>VLOOKUP(B60,Vendedores!A:C,3,FALSE)</f>
        <v>0.08</v>
      </c>
      <c r="K60" s="23">
        <f t="shared" si="0"/>
        <v>165.9864</v>
      </c>
    </row>
    <row r="61" spans="1:11" x14ac:dyDescent="0.2">
      <c r="A61" s="1">
        <v>1060</v>
      </c>
      <c r="B61" s="1" t="s">
        <v>7</v>
      </c>
      <c r="C61" s="1" t="str">
        <f>VLOOKUP(B61,Vendedores!A:B,2,TRUE)</f>
        <v>Marcos Oliveira</v>
      </c>
      <c r="D61" s="1" t="str">
        <f>_xlfn.XLOOKUP(B61,Vendedores!A:A,Vendedores!D:D)</f>
        <v>Antonio Silva</v>
      </c>
      <c r="E61" s="1">
        <f>MATCH(B61,Vendedores!A:A)</f>
        <v>4</v>
      </c>
      <c r="F61" s="1" t="str" cm="1">
        <f t="array" ref="F61">INDEX(Vendedores!E:E,Vendas!E61)</f>
        <v>Apucarana</v>
      </c>
      <c r="G61" s="1" t="str">
        <f>INDEX(Vendedores!E:E, MATCH(Vendas!B61,Vendedores!A:A))</f>
        <v>Apucarana</v>
      </c>
      <c r="H61" s="2">
        <v>46093</v>
      </c>
      <c r="I61" s="4">
        <v>4763.42</v>
      </c>
      <c r="J61" s="16">
        <f>VLOOKUP(B61,Vendedores!A:C,3,FALSE)</f>
        <v>0.15</v>
      </c>
      <c r="K61" s="23">
        <f t="shared" si="0"/>
        <v>714.51300000000003</v>
      </c>
    </row>
    <row r="62" spans="1:11" x14ac:dyDescent="0.2">
      <c r="A62" s="1">
        <v>1061</v>
      </c>
      <c r="B62" s="1" t="s">
        <v>7</v>
      </c>
      <c r="C62" s="1" t="str">
        <f>VLOOKUP(B62,Vendedores!A:B,2,TRUE)</f>
        <v>Marcos Oliveira</v>
      </c>
      <c r="D62" s="1" t="str">
        <f>_xlfn.XLOOKUP(B62,Vendedores!A:A,Vendedores!D:D)</f>
        <v>Antonio Silva</v>
      </c>
      <c r="E62" s="1">
        <f>MATCH(B62,Vendedores!A:A)</f>
        <v>4</v>
      </c>
      <c r="F62" s="1" t="str" cm="1">
        <f t="array" ref="F62">INDEX(Vendedores!E:E,Vendas!E62)</f>
        <v>Apucarana</v>
      </c>
      <c r="G62" s="1" t="str">
        <f>INDEX(Vendedores!E:E, MATCH(Vendas!B62,Vendedores!A:A))</f>
        <v>Apucarana</v>
      </c>
      <c r="H62" s="2">
        <v>46085</v>
      </c>
      <c r="I62" s="4">
        <v>3945.16</v>
      </c>
      <c r="J62" s="16">
        <f>VLOOKUP(B62,Vendedores!A:C,3,FALSE)</f>
        <v>0.15</v>
      </c>
      <c r="K62" s="23">
        <f t="shared" si="0"/>
        <v>591.774</v>
      </c>
    </row>
    <row r="63" spans="1:11" x14ac:dyDescent="0.2">
      <c r="A63" s="1">
        <v>1062</v>
      </c>
      <c r="B63" s="1" t="s">
        <v>4</v>
      </c>
      <c r="C63" s="1" t="str">
        <f>VLOOKUP(B63,Vendedores!A:B,2,TRUE)</f>
        <v>Carlos Silva</v>
      </c>
      <c r="D63" s="1" t="str">
        <f>_xlfn.XLOOKUP(B63,Vendedores!A:A,Vendedores!D:D)</f>
        <v>Marcelo Alves</v>
      </c>
      <c r="E63" s="1">
        <f>MATCH(B63,Vendedores!A:A)</f>
        <v>2</v>
      </c>
      <c r="F63" s="1" t="str" cm="1">
        <f t="array" ref="F63">INDEX(Vendedores!E:E,Vendas!E63)</f>
        <v>Maringá</v>
      </c>
      <c r="G63" s="1" t="str">
        <f>INDEX(Vendedores!E:E, MATCH(Vendas!B63,Vendedores!A:A))</f>
        <v>Maringá</v>
      </c>
      <c r="H63" s="2">
        <v>46031</v>
      </c>
      <c r="I63" s="4">
        <v>1980.59</v>
      </c>
      <c r="J63" s="16">
        <f>VLOOKUP(B63,Vendedores!A:C,3,FALSE)</f>
        <v>0.08</v>
      </c>
      <c r="K63" s="23">
        <f t="shared" si="0"/>
        <v>158.44720000000001</v>
      </c>
    </row>
    <row r="64" spans="1:11" x14ac:dyDescent="0.2">
      <c r="A64" s="1">
        <v>1063</v>
      </c>
      <c r="B64" s="1" t="s">
        <v>6</v>
      </c>
      <c r="C64" s="1" t="str">
        <f>VLOOKUP(B64,Vendedores!A:B,2,TRUE)</f>
        <v>Marcio Costa</v>
      </c>
      <c r="D64" s="1" t="str">
        <f>_xlfn.XLOOKUP(B64,Vendedores!A:A,Vendedores!D:D)</f>
        <v>Rogério Araujo</v>
      </c>
      <c r="E64" s="1">
        <f>MATCH(B64,Vendedores!A:A)</f>
        <v>6</v>
      </c>
      <c r="F64" s="1" t="str" cm="1">
        <f t="array" ref="F64">INDEX(Vendedores!E:E,Vendas!E64)</f>
        <v>São Paulo</v>
      </c>
      <c r="G64" s="1" t="str">
        <f>INDEX(Vendedores!E:E, MATCH(Vendas!B64,Vendedores!A:A))</f>
        <v>São Paulo</v>
      </c>
      <c r="H64" s="2">
        <v>46037</v>
      </c>
      <c r="I64" s="4">
        <v>4434.72</v>
      </c>
      <c r="J64" s="16">
        <f>VLOOKUP(B64,Vendedores!A:C,3,FALSE)</f>
        <v>0.04</v>
      </c>
      <c r="K64" s="23">
        <f t="shared" si="0"/>
        <v>177.3888</v>
      </c>
    </row>
    <row r="65" spans="1:11" x14ac:dyDescent="0.2">
      <c r="A65" s="1">
        <v>1064</v>
      </c>
      <c r="B65" s="1" t="s">
        <v>7</v>
      </c>
      <c r="C65" s="1" t="str">
        <f>VLOOKUP(B65,Vendedores!A:B,2,TRUE)</f>
        <v>Marcos Oliveira</v>
      </c>
      <c r="D65" s="1" t="str">
        <f>_xlfn.XLOOKUP(B65,Vendedores!A:A,Vendedores!D:D)</f>
        <v>Antonio Silva</v>
      </c>
      <c r="E65" s="1">
        <f>MATCH(B65,Vendedores!A:A)</f>
        <v>4</v>
      </c>
      <c r="F65" s="1" t="str" cm="1">
        <f t="array" ref="F65">INDEX(Vendedores!E:E,Vendas!E65)</f>
        <v>Apucarana</v>
      </c>
      <c r="G65" s="1" t="str">
        <f>INDEX(Vendedores!E:E, MATCH(Vendas!B65,Vendedores!A:A))</f>
        <v>Apucarana</v>
      </c>
      <c r="H65" s="2">
        <v>46108</v>
      </c>
      <c r="I65" s="4">
        <v>4585.3900000000003</v>
      </c>
      <c r="J65" s="16">
        <f>VLOOKUP(B65,Vendedores!A:C,3,FALSE)</f>
        <v>0.15</v>
      </c>
      <c r="K65" s="23">
        <f t="shared" si="0"/>
        <v>687.80849999999998</v>
      </c>
    </row>
    <row r="66" spans="1:11" x14ac:dyDescent="0.2">
      <c r="A66" s="1">
        <v>1065</v>
      </c>
      <c r="B66" s="1" t="s">
        <v>5</v>
      </c>
      <c r="C66" s="1" t="str">
        <f>VLOOKUP(B66,Vendedores!A:B,2,TRUE)</f>
        <v>Ana Souza</v>
      </c>
      <c r="D66" s="1" t="str">
        <f>_xlfn.XLOOKUP(B66,Vendedores!A:A,Vendedores!D:D)</f>
        <v>Marcelo Alves</v>
      </c>
      <c r="E66" s="1">
        <f>MATCH(B66,Vendedores!A:A)</f>
        <v>3</v>
      </c>
      <c r="F66" s="1" t="str" cm="1">
        <f t="array" ref="F66">INDEX(Vendedores!E:E,Vendas!E66)</f>
        <v>Maringá</v>
      </c>
      <c r="G66" s="1" t="str">
        <f>INDEX(Vendedores!E:E, MATCH(Vendas!B66,Vendedores!A:A))</f>
        <v>Maringá</v>
      </c>
      <c r="H66" s="2">
        <v>46081</v>
      </c>
      <c r="I66" s="4">
        <v>3284.14</v>
      </c>
      <c r="J66" s="16">
        <f>VLOOKUP(B66,Vendedores!A:C,3,FALSE)</f>
        <v>0.08</v>
      </c>
      <c r="K66" s="23">
        <f t="shared" si="0"/>
        <v>262.7312</v>
      </c>
    </row>
    <row r="67" spans="1:11" x14ac:dyDescent="0.2">
      <c r="A67" s="1">
        <v>1066</v>
      </c>
      <c r="B67" s="1" t="s">
        <v>8</v>
      </c>
      <c r="C67" s="1" t="str">
        <f>VLOOKUP(B67,Vendedores!A:B,2,TRUE)</f>
        <v>Juliana Lima</v>
      </c>
      <c r="D67" s="1" t="str">
        <f>_xlfn.XLOOKUP(B67,Vendedores!A:A,Vendedores!D:D)</f>
        <v>Rogério Araujo</v>
      </c>
      <c r="E67" s="1">
        <f>MATCH(B67,Vendedores!A:A)</f>
        <v>5</v>
      </c>
      <c r="F67" s="1" t="str" cm="1">
        <f t="array" ref="F67">INDEX(Vendedores!E:E,Vendas!E67)</f>
        <v>Curitiba</v>
      </c>
      <c r="G67" s="1" t="str">
        <f>INDEX(Vendedores!E:E, MATCH(Vendas!B67,Vendedores!A:A))</f>
        <v>Curitiba</v>
      </c>
      <c r="H67" s="2">
        <v>46042</v>
      </c>
      <c r="I67" s="4">
        <v>4433.88</v>
      </c>
      <c r="J67" s="16">
        <f>VLOOKUP(B67,Vendedores!A:C,3,FALSE)</f>
        <v>0.1</v>
      </c>
      <c r="K67" s="23">
        <f t="shared" ref="K67:K101" si="1">I67*J67</f>
        <v>443.38800000000003</v>
      </c>
    </row>
    <row r="68" spans="1:11" x14ac:dyDescent="0.2">
      <c r="A68" s="1">
        <v>1067</v>
      </c>
      <c r="B68" s="1" t="s">
        <v>7</v>
      </c>
      <c r="C68" s="1" t="str">
        <f>VLOOKUP(B68,Vendedores!A:B,2,TRUE)</f>
        <v>Marcos Oliveira</v>
      </c>
      <c r="D68" s="1" t="str">
        <f>_xlfn.XLOOKUP(B68,Vendedores!A:A,Vendedores!D:D)</f>
        <v>Antonio Silva</v>
      </c>
      <c r="E68" s="1">
        <f>MATCH(B68,Vendedores!A:A)</f>
        <v>4</v>
      </c>
      <c r="F68" s="1" t="str" cm="1">
        <f t="array" ref="F68">INDEX(Vendedores!E:E,Vendas!E68)</f>
        <v>Apucarana</v>
      </c>
      <c r="G68" s="1" t="str">
        <f>INDEX(Vendedores!E:E, MATCH(Vendas!B68,Vendedores!A:A))</f>
        <v>Apucarana</v>
      </c>
      <c r="H68" s="2">
        <v>46080</v>
      </c>
      <c r="I68" s="4">
        <v>2439.42</v>
      </c>
      <c r="J68" s="16">
        <f>VLOOKUP(B68,Vendedores!A:C,3,FALSE)</f>
        <v>0.15</v>
      </c>
      <c r="K68" s="23">
        <f t="shared" si="1"/>
        <v>365.91300000000001</v>
      </c>
    </row>
    <row r="69" spans="1:11" x14ac:dyDescent="0.2">
      <c r="A69" s="1">
        <v>1068</v>
      </c>
      <c r="B69" s="1" t="s">
        <v>7</v>
      </c>
      <c r="C69" s="1" t="str">
        <f>VLOOKUP(B69,Vendedores!A:B,2,TRUE)</f>
        <v>Marcos Oliveira</v>
      </c>
      <c r="D69" s="1" t="str">
        <f>_xlfn.XLOOKUP(B69,Vendedores!A:A,Vendedores!D:D)</f>
        <v>Antonio Silva</v>
      </c>
      <c r="E69" s="1">
        <f>MATCH(B69,Vendedores!A:A)</f>
        <v>4</v>
      </c>
      <c r="F69" s="1" t="str" cm="1">
        <f t="array" ref="F69">INDEX(Vendedores!E:E,Vendas!E69)</f>
        <v>Apucarana</v>
      </c>
      <c r="G69" s="1" t="str">
        <f>INDEX(Vendedores!E:E, MATCH(Vendas!B69,Vendedores!A:A))</f>
        <v>Apucarana</v>
      </c>
      <c r="H69" s="2">
        <v>46089</v>
      </c>
      <c r="I69" s="4">
        <v>3491.56</v>
      </c>
      <c r="J69" s="16">
        <f>VLOOKUP(B69,Vendedores!A:C,3,FALSE)</f>
        <v>0.15</v>
      </c>
      <c r="K69" s="23">
        <f t="shared" si="1"/>
        <v>523.73399999999992</v>
      </c>
    </row>
    <row r="70" spans="1:11" x14ac:dyDescent="0.2">
      <c r="A70" s="1">
        <v>1069</v>
      </c>
      <c r="B70" s="1" t="s">
        <v>8</v>
      </c>
      <c r="C70" s="1" t="str">
        <f>VLOOKUP(B70,Vendedores!A:B,2,TRUE)</f>
        <v>Juliana Lima</v>
      </c>
      <c r="D70" s="1" t="str">
        <f>_xlfn.XLOOKUP(B70,Vendedores!A:A,Vendedores!D:D)</f>
        <v>Rogério Araujo</v>
      </c>
      <c r="E70" s="1">
        <f>MATCH(B70,Vendedores!A:A)</f>
        <v>5</v>
      </c>
      <c r="F70" s="1" t="str" cm="1">
        <f t="array" ref="F70">INDEX(Vendedores!E:E,Vendas!E70)</f>
        <v>Curitiba</v>
      </c>
      <c r="G70" s="1" t="str">
        <f>INDEX(Vendedores!E:E, MATCH(Vendas!B70,Vendedores!A:A))</f>
        <v>Curitiba</v>
      </c>
      <c r="H70" s="2">
        <v>46091</v>
      </c>
      <c r="I70" s="4">
        <v>3284.51</v>
      </c>
      <c r="J70" s="16">
        <f>VLOOKUP(B70,Vendedores!A:C,3,FALSE)</f>
        <v>0.1</v>
      </c>
      <c r="K70" s="23">
        <f t="shared" si="1"/>
        <v>328.45100000000002</v>
      </c>
    </row>
    <row r="71" spans="1:11" x14ac:dyDescent="0.2">
      <c r="A71" s="1">
        <v>1070</v>
      </c>
      <c r="B71" s="1" t="s">
        <v>8</v>
      </c>
      <c r="C71" s="1" t="str">
        <f>VLOOKUP(B71,Vendedores!A:B,2,TRUE)</f>
        <v>Juliana Lima</v>
      </c>
      <c r="D71" s="1" t="str">
        <f>_xlfn.XLOOKUP(B71,Vendedores!A:A,Vendedores!D:D)</f>
        <v>Rogério Araujo</v>
      </c>
      <c r="E71" s="1">
        <f>MATCH(B71,Vendedores!A:A)</f>
        <v>5</v>
      </c>
      <c r="F71" s="1" t="str" cm="1">
        <f t="array" ref="F71">INDEX(Vendedores!E:E,Vendas!E71)</f>
        <v>Curitiba</v>
      </c>
      <c r="G71" s="1" t="str">
        <f>INDEX(Vendedores!E:E, MATCH(Vendas!B71,Vendedores!A:A))</f>
        <v>Curitiba</v>
      </c>
      <c r="H71" s="2">
        <v>46101</v>
      </c>
      <c r="I71" s="4">
        <v>2831.64</v>
      </c>
      <c r="J71" s="16">
        <f>VLOOKUP(B71,Vendedores!A:C,3,FALSE)</f>
        <v>0.1</v>
      </c>
      <c r="K71" s="23">
        <f t="shared" si="1"/>
        <v>283.16399999999999</v>
      </c>
    </row>
    <row r="72" spans="1:11" x14ac:dyDescent="0.2">
      <c r="A72" s="1">
        <v>1071</v>
      </c>
      <c r="B72" s="1" t="s">
        <v>6</v>
      </c>
      <c r="C72" s="1" t="str">
        <f>VLOOKUP(B72,Vendedores!A:B,2,TRUE)</f>
        <v>Marcio Costa</v>
      </c>
      <c r="D72" s="1" t="str">
        <f>_xlfn.XLOOKUP(B72,Vendedores!A:A,Vendedores!D:D)</f>
        <v>Rogério Araujo</v>
      </c>
      <c r="E72" s="1">
        <f>MATCH(B72,Vendedores!A:A)</f>
        <v>6</v>
      </c>
      <c r="F72" s="1" t="str" cm="1">
        <f t="array" ref="F72">INDEX(Vendedores!E:E,Vendas!E72)</f>
        <v>São Paulo</v>
      </c>
      <c r="G72" s="1" t="str">
        <f>INDEX(Vendedores!E:E, MATCH(Vendas!B72,Vendedores!A:A))</f>
        <v>São Paulo</v>
      </c>
      <c r="H72" s="2">
        <v>46045</v>
      </c>
      <c r="I72" s="4">
        <v>1780.01</v>
      </c>
      <c r="J72" s="16">
        <f>VLOOKUP(B72,Vendedores!A:C,3,FALSE)</f>
        <v>0.04</v>
      </c>
      <c r="K72" s="23">
        <f t="shared" si="1"/>
        <v>71.200400000000002</v>
      </c>
    </row>
    <row r="73" spans="1:11" x14ac:dyDescent="0.2">
      <c r="A73" s="1">
        <v>1072</v>
      </c>
      <c r="B73" s="1" t="s">
        <v>4</v>
      </c>
      <c r="C73" s="1" t="str">
        <f>VLOOKUP(B73,Vendedores!A:B,2,TRUE)</f>
        <v>Carlos Silva</v>
      </c>
      <c r="D73" s="1" t="str">
        <f>_xlfn.XLOOKUP(B73,Vendedores!A:A,Vendedores!D:D)</f>
        <v>Marcelo Alves</v>
      </c>
      <c r="E73" s="1">
        <f>MATCH(B73,Vendedores!A:A)</f>
        <v>2</v>
      </c>
      <c r="F73" s="1" t="str" cm="1">
        <f t="array" ref="F73">INDEX(Vendedores!E:E,Vendas!E73)</f>
        <v>Maringá</v>
      </c>
      <c r="G73" s="1" t="str">
        <f>INDEX(Vendedores!E:E, MATCH(Vendas!B73,Vendedores!A:A))</f>
        <v>Maringá</v>
      </c>
      <c r="H73" s="2">
        <v>46090</v>
      </c>
      <c r="I73" s="4">
        <v>4858.9799999999996</v>
      </c>
      <c r="J73" s="16">
        <f>VLOOKUP(B73,Vendedores!A:C,3,FALSE)</f>
        <v>0.08</v>
      </c>
      <c r="K73" s="23">
        <f t="shared" si="1"/>
        <v>388.71839999999997</v>
      </c>
    </row>
    <row r="74" spans="1:11" x14ac:dyDescent="0.2">
      <c r="A74" s="1">
        <v>1073</v>
      </c>
      <c r="B74" s="1" t="s">
        <v>4</v>
      </c>
      <c r="C74" s="1" t="str">
        <f>VLOOKUP(B74,Vendedores!A:B,2,TRUE)</f>
        <v>Carlos Silva</v>
      </c>
      <c r="D74" s="1" t="str">
        <f>_xlfn.XLOOKUP(B74,Vendedores!A:A,Vendedores!D:D)</f>
        <v>Marcelo Alves</v>
      </c>
      <c r="E74" s="1">
        <f>MATCH(B74,Vendedores!A:A)</f>
        <v>2</v>
      </c>
      <c r="F74" s="1" t="str" cm="1">
        <f t="array" ref="F74">INDEX(Vendedores!E:E,Vendas!E74)</f>
        <v>Maringá</v>
      </c>
      <c r="G74" s="1" t="str">
        <f>INDEX(Vendedores!E:E, MATCH(Vendas!B74,Vendedores!A:A))</f>
        <v>Maringá</v>
      </c>
      <c r="H74" s="2">
        <v>46076</v>
      </c>
      <c r="I74" s="4">
        <v>1613.88</v>
      </c>
      <c r="J74" s="16">
        <f>VLOOKUP(B74,Vendedores!A:C,3,FALSE)</f>
        <v>0.08</v>
      </c>
      <c r="K74" s="23">
        <f t="shared" si="1"/>
        <v>129.1104</v>
      </c>
    </row>
    <row r="75" spans="1:11" x14ac:dyDescent="0.2">
      <c r="A75" s="1">
        <v>1074</v>
      </c>
      <c r="B75" s="1" t="s">
        <v>5</v>
      </c>
      <c r="C75" s="1" t="str">
        <f>VLOOKUP(B75,Vendedores!A:B,2,TRUE)</f>
        <v>Ana Souza</v>
      </c>
      <c r="D75" s="1" t="str">
        <f>_xlfn.XLOOKUP(B75,Vendedores!A:A,Vendedores!D:D)</f>
        <v>Marcelo Alves</v>
      </c>
      <c r="E75" s="1">
        <f>MATCH(B75,Vendedores!A:A)</f>
        <v>3</v>
      </c>
      <c r="F75" s="1" t="str" cm="1">
        <f t="array" ref="F75">INDEX(Vendedores!E:E,Vendas!E75)</f>
        <v>Maringá</v>
      </c>
      <c r="G75" s="1" t="str">
        <f>INDEX(Vendedores!E:E, MATCH(Vendas!B75,Vendedores!A:A))</f>
        <v>Maringá</v>
      </c>
      <c r="H75" s="2">
        <v>46065</v>
      </c>
      <c r="I75" s="4">
        <v>3085.83</v>
      </c>
      <c r="J75" s="16">
        <f>VLOOKUP(B75,Vendedores!A:C,3,FALSE)</f>
        <v>0.08</v>
      </c>
      <c r="K75" s="23">
        <f t="shared" si="1"/>
        <v>246.8664</v>
      </c>
    </row>
    <row r="76" spans="1:11" x14ac:dyDescent="0.2">
      <c r="A76" s="1">
        <v>1075</v>
      </c>
      <c r="B76" s="1" t="s">
        <v>8</v>
      </c>
      <c r="C76" s="1" t="str">
        <f>VLOOKUP(B76,Vendedores!A:B,2,TRUE)</f>
        <v>Juliana Lima</v>
      </c>
      <c r="D76" s="1" t="str">
        <f>_xlfn.XLOOKUP(B76,Vendedores!A:A,Vendedores!D:D)</f>
        <v>Rogério Araujo</v>
      </c>
      <c r="E76" s="1">
        <f>MATCH(B76,Vendedores!A:A)</f>
        <v>5</v>
      </c>
      <c r="F76" s="1" t="str" cm="1">
        <f t="array" ref="F76">INDEX(Vendedores!E:E,Vendas!E76)</f>
        <v>Curitiba</v>
      </c>
      <c r="G76" s="1" t="str">
        <f>INDEX(Vendedores!E:E, MATCH(Vendas!B76,Vendedores!A:A))</f>
        <v>Curitiba</v>
      </c>
      <c r="H76" s="2">
        <v>46059</v>
      </c>
      <c r="I76" s="4">
        <v>1289.47</v>
      </c>
      <c r="J76" s="16">
        <f>VLOOKUP(B76,Vendedores!A:C,3,FALSE)</f>
        <v>0.1</v>
      </c>
      <c r="K76" s="23">
        <f t="shared" si="1"/>
        <v>128.947</v>
      </c>
    </row>
    <row r="77" spans="1:11" x14ac:dyDescent="0.2">
      <c r="A77" s="1">
        <v>1076</v>
      </c>
      <c r="B77" s="1" t="s">
        <v>6</v>
      </c>
      <c r="C77" s="1" t="str">
        <f>VLOOKUP(B77,Vendedores!A:B,2,TRUE)</f>
        <v>Marcio Costa</v>
      </c>
      <c r="D77" s="1" t="str">
        <f>_xlfn.XLOOKUP(B77,Vendedores!A:A,Vendedores!D:D)</f>
        <v>Rogério Araujo</v>
      </c>
      <c r="E77" s="1">
        <f>MATCH(B77,Vendedores!A:A)</f>
        <v>6</v>
      </c>
      <c r="F77" s="1" t="str" cm="1">
        <f t="array" ref="F77">INDEX(Vendedores!E:E,Vendas!E77)</f>
        <v>São Paulo</v>
      </c>
      <c r="G77" s="1" t="str">
        <f>INDEX(Vendedores!E:E, MATCH(Vendas!B77,Vendedores!A:A))</f>
        <v>São Paulo</v>
      </c>
      <c r="H77" s="2">
        <v>46042</v>
      </c>
      <c r="I77" s="4">
        <v>4901.4399999999996</v>
      </c>
      <c r="J77" s="16">
        <f>VLOOKUP(B77,Vendedores!A:C,3,FALSE)</f>
        <v>0.04</v>
      </c>
      <c r="K77" s="23">
        <f t="shared" si="1"/>
        <v>196.05759999999998</v>
      </c>
    </row>
    <row r="78" spans="1:11" x14ac:dyDescent="0.2">
      <c r="A78" s="1">
        <v>1077</v>
      </c>
      <c r="B78" s="1" t="s">
        <v>8</v>
      </c>
      <c r="C78" s="1" t="str">
        <f>VLOOKUP(B78,Vendedores!A:B,2,TRUE)</f>
        <v>Juliana Lima</v>
      </c>
      <c r="D78" s="1" t="str">
        <f>_xlfn.XLOOKUP(B78,Vendedores!A:A,Vendedores!D:D)</f>
        <v>Rogério Araujo</v>
      </c>
      <c r="E78" s="1">
        <f>MATCH(B78,Vendedores!A:A)</f>
        <v>5</v>
      </c>
      <c r="F78" s="1" t="str" cm="1">
        <f t="array" ref="F78">INDEX(Vendedores!E:E,Vendas!E78)</f>
        <v>Curitiba</v>
      </c>
      <c r="G78" s="1" t="str">
        <f>INDEX(Vendedores!E:E, MATCH(Vendas!B78,Vendedores!A:A))</f>
        <v>Curitiba</v>
      </c>
      <c r="H78" s="2">
        <v>46083</v>
      </c>
      <c r="I78" s="4">
        <v>3075.45</v>
      </c>
      <c r="J78" s="16">
        <f>VLOOKUP(B78,Vendedores!A:C,3,FALSE)</f>
        <v>0.1</v>
      </c>
      <c r="K78" s="23">
        <f t="shared" si="1"/>
        <v>307.54500000000002</v>
      </c>
    </row>
    <row r="79" spans="1:11" x14ac:dyDescent="0.2">
      <c r="A79" s="1">
        <v>1078</v>
      </c>
      <c r="B79" s="1" t="s">
        <v>6</v>
      </c>
      <c r="C79" s="1" t="str">
        <f>VLOOKUP(B79,Vendedores!A:B,2,TRUE)</f>
        <v>Marcio Costa</v>
      </c>
      <c r="D79" s="1" t="str">
        <f>_xlfn.XLOOKUP(B79,Vendedores!A:A,Vendedores!D:D)</f>
        <v>Rogério Araujo</v>
      </c>
      <c r="E79" s="1">
        <f>MATCH(B79,Vendedores!A:A)</f>
        <v>6</v>
      </c>
      <c r="F79" s="1" t="str" cm="1">
        <f t="array" ref="F79">INDEX(Vendedores!E:E,Vendas!E79)</f>
        <v>São Paulo</v>
      </c>
      <c r="G79" s="1" t="str">
        <f>INDEX(Vendedores!E:E, MATCH(Vendas!B79,Vendedores!A:A))</f>
        <v>São Paulo</v>
      </c>
      <c r="H79" s="2">
        <v>46067</v>
      </c>
      <c r="I79" s="4">
        <v>3302.26</v>
      </c>
      <c r="J79" s="16">
        <f>VLOOKUP(B79,Vendedores!A:C,3,FALSE)</f>
        <v>0.04</v>
      </c>
      <c r="K79" s="23">
        <f t="shared" si="1"/>
        <v>132.09040000000002</v>
      </c>
    </row>
    <row r="80" spans="1:11" x14ac:dyDescent="0.2">
      <c r="A80" s="1">
        <v>1079</v>
      </c>
      <c r="B80" s="1" t="s">
        <v>7</v>
      </c>
      <c r="C80" s="1" t="str">
        <f>VLOOKUP(B80,Vendedores!A:B,2,TRUE)</f>
        <v>Marcos Oliveira</v>
      </c>
      <c r="D80" s="1" t="str">
        <f>_xlfn.XLOOKUP(B80,Vendedores!A:A,Vendedores!D:D)</f>
        <v>Antonio Silva</v>
      </c>
      <c r="E80" s="1">
        <f>MATCH(B80,Vendedores!A:A)</f>
        <v>4</v>
      </c>
      <c r="F80" s="1" t="str" cm="1">
        <f t="array" ref="F80">INDEX(Vendedores!E:E,Vendas!E80)</f>
        <v>Apucarana</v>
      </c>
      <c r="G80" s="1" t="str">
        <f>INDEX(Vendedores!E:E, MATCH(Vendas!B80,Vendedores!A:A))</f>
        <v>Apucarana</v>
      </c>
      <c r="H80" s="2">
        <v>46107</v>
      </c>
      <c r="I80" s="4">
        <v>4505.47</v>
      </c>
      <c r="J80" s="16">
        <f>VLOOKUP(B80,Vendedores!A:C,3,FALSE)</f>
        <v>0.15</v>
      </c>
      <c r="K80" s="23">
        <f t="shared" si="1"/>
        <v>675.82050000000004</v>
      </c>
    </row>
    <row r="81" spans="1:11" x14ac:dyDescent="0.2">
      <c r="A81" s="1">
        <v>1080</v>
      </c>
      <c r="B81" s="1" t="s">
        <v>8</v>
      </c>
      <c r="C81" s="1" t="str">
        <f>VLOOKUP(B81,Vendedores!A:B,2,TRUE)</f>
        <v>Juliana Lima</v>
      </c>
      <c r="D81" s="1" t="str">
        <f>_xlfn.XLOOKUP(B81,Vendedores!A:A,Vendedores!D:D)</f>
        <v>Rogério Araujo</v>
      </c>
      <c r="E81" s="1">
        <f>MATCH(B81,Vendedores!A:A)</f>
        <v>5</v>
      </c>
      <c r="F81" s="1" t="str" cm="1">
        <f t="array" ref="F81">INDEX(Vendedores!E:E,Vendas!E81)</f>
        <v>Curitiba</v>
      </c>
      <c r="G81" s="1" t="str">
        <f>INDEX(Vendedores!E:E, MATCH(Vendas!B81,Vendedores!A:A))</f>
        <v>Curitiba</v>
      </c>
      <c r="H81" s="2">
        <v>46048</v>
      </c>
      <c r="I81" s="4">
        <v>4283.45</v>
      </c>
      <c r="J81" s="16">
        <f>VLOOKUP(B81,Vendedores!A:C,3,FALSE)</f>
        <v>0.1</v>
      </c>
      <c r="K81" s="23">
        <f t="shared" si="1"/>
        <v>428.34500000000003</v>
      </c>
    </row>
    <row r="82" spans="1:11" x14ac:dyDescent="0.2">
      <c r="A82" s="1">
        <v>1081</v>
      </c>
      <c r="B82" s="1" t="s">
        <v>4</v>
      </c>
      <c r="C82" s="1" t="str">
        <f>VLOOKUP(B82,Vendedores!A:B,2,TRUE)</f>
        <v>Carlos Silva</v>
      </c>
      <c r="D82" s="1" t="str">
        <f>_xlfn.XLOOKUP(B82,Vendedores!A:A,Vendedores!D:D)</f>
        <v>Marcelo Alves</v>
      </c>
      <c r="E82" s="1">
        <f>MATCH(B82,Vendedores!A:A)</f>
        <v>2</v>
      </c>
      <c r="F82" s="1" t="str" cm="1">
        <f t="array" ref="F82">INDEX(Vendedores!E:E,Vendas!E82)</f>
        <v>Maringá</v>
      </c>
      <c r="G82" s="1" t="str">
        <f>INDEX(Vendedores!E:E, MATCH(Vendas!B82,Vendedores!A:A))</f>
        <v>Maringá</v>
      </c>
      <c r="H82" s="2">
        <v>46042</v>
      </c>
      <c r="I82" s="4">
        <v>3230.94</v>
      </c>
      <c r="J82" s="16">
        <f>VLOOKUP(B82,Vendedores!A:C,3,FALSE)</f>
        <v>0.08</v>
      </c>
      <c r="K82" s="23">
        <f t="shared" si="1"/>
        <v>258.47520000000003</v>
      </c>
    </row>
    <row r="83" spans="1:11" x14ac:dyDescent="0.2">
      <c r="A83" s="1">
        <v>1082</v>
      </c>
      <c r="B83" s="1" t="s">
        <v>5</v>
      </c>
      <c r="C83" s="1" t="str">
        <f>VLOOKUP(B83,Vendedores!A:B,2,TRUE)</f>
        <v>Ana Souza</v>
      </c>
      <c r="D83" s="1" t="str">
        <f>_xlfn.XLOOKUP(B83,Vendedores!A:A,Vendedores!D:D)</f>
        <v>Marcelo Alves</v>
      </c>
      <c r="E83" s="1">
        <f>MATCH(B83,Vendedores!A:A)</f>
        <v>3</v>
      </c>
      <c r="F83" s="1" t="str" cm="1">
        <f t="array" ref="F83">INDEX(Vendedores!E:E,Vendas!E83)</f>
        <v>Maringá</v>
      </c>
      <c r="G83" s="1" t="str">
        <f>INDEX(Vendedores!E:E, MATCH(Vendas!B83,Vendedores!A:A))</f>
        <v>Maringá</v>
      </c>
      <c r="H83" s="2">
        <v>46034</v>
      </c>
      <c r="I83" s="4">
        <v>4142.25</v>
      </c>
      <c r="J83" s="16">
        <f>VLOOKUP(B83,Vendedores!A:C,3,FALSE)</f>
        <v>0.08</v>
      </c>
      <c r="K83" s="23">
        <f t="shared" si="1"/>
        <v>331.38</v>
      </c>
    </row>
    <row r="84" spans="1:11" x14ac:dyDescent="0.2">
      <c r="A84" s="1">
        <v>1083</v>
      </c>
      <c r="B84" s="1" t="s">
        <v>7</v>
      </c>
      <c r="C84" s="1" t="str">
        <f>VLOOKUP(B84,Vendedores!A:B,2,TRUE)</f>
        <v>Marcos Oliveira</v>
      </c>
      <c r="D84" s="1" t="str">
        <f>_xlfn.XLOOKUP(B84,Vendedores!A:A,Vendedores!D:D)</f>
        <v>Antonio Silva</v>
      </c>
      <c r="E84" s="1">
        <f>MATCH(B84,Vendedores!A:A)</f>
        <v>4</v>
      </c>
      <c r="F84" s="1" t="str" cm="1">
        <f t="array" ref="F84">INDEX(Vendedores!E:E,Vendas!E84)</f>
        <v>Apucarana</v>
      </c>
      <c r="G84" s="1" t="str">
        <f>INDEX(Vendedores!E:E, MATCH(Vendas!B84,Vendedores!A:A))</f>
        <v>Apucarana</v>
      </c>
      <c r="H84" s="2">
        <v>46027</v>
      </c>
      <c r="I84" s="4">
        <v>2484.77</v>
      </c>
      <c r="J84" s="16">
        <f>VLOOKUP(B84,Vendedores!A:C,3,FALSE)</f>
        <v>0.15</v>
      </c>
      <c r="K84" s="23">
        <f t="shared" si="1"/>
        <v>372.71549999999996</v>
      </c>
    </row>
    <row r="85" spans="1:11" x14ac:dyDescent="0.2">
      <c r="A85" s="1">
        <v>1084</v>
      </c>
      <c r="B85" s="1" t="s">
        <v>8</v>
      </c>
      <c r="C85" s="1" t="str">
        <f>VLOOKUP(B85,Vendedores!A:B,2,TRUE)</f>
        <v>Juliana Lima</v>
      </c>
      <c r="D85" s="1" t="str">
        <f>_xlfn.XLOOKUP(B85,Vendedores!A:A,Vendedores!D:D)</f>
        <v>Rogério Araujo</v>
      </c>
      <c r="E85" s="1">
        <f>MATCH(B85,Vendedores!A:A)</f>
        <v>5</v>
      </c>
      <c r="F85" s="1" t="str" cm="1">
        <f t="array" ref="F85">INDEX(Vendedores!E:E,Vendas!E85)</f>
        <v>Curitiba</v>
      </c>
      <c r="G85" s="1" t="str">
        <f>INDEX(Vendedores!E:E, MATCH(Vendas!B85,Vendedores!A:A))</f>
        <v>Curitiba</v>
      </c>
      <c r="H85" s="2">
        <v>46047</v>
      </c>
      <c r="I85" s="4">
        <v>1250.77</v>
      </c>
      <c r="J85" s="16">
        <f>VLOOKUP(B85,Vendedores!A:C,3,FALSE)</f>
        <v>0.1</v>
      </c>
      <c r="K85" s="23">
        <f t="shared" si="1"/>
        <v>125.077</v>
      </c>
    </row>
    <row r="86" spans="1:11" x14ac:dyDescent="0.2">
      <c r="A86" s="1">
        <v>1085</v>
      </c>
      <c r="B86" s="1" t="s">
        <v>7</v>
      </c>
      <c r="C86" s="1" t="str">
        <f>VLOOKUP(B86,Vendedores!A:B,2,TRUE)</f>
        <v>Marcos Oliveira</v>
      </c>
      <c r="D86" s="1" t="str">
        <f>_xlfn.XLOOKUP(B86,Vendedores!A:A,Vendedores!D:D)</f>
        <v>Antonio Silva</v>
      </c>
      <c r="E86" s="1">
        <f>MATCH(B86,Vendedores!A:A)</f>
        <v>4</v>
      </c>
      <c r="F86" s="1" t="str" cm="1">
        <f t="array" ref="F86">INDEX(Vendedores!E:E,Vendas!E86)</f>
        <v>Apucarana</v>
      </c>
      <c r="G86" s="1" t="str">
        <f>INDEX(Vendedores!E:E, MATCH(Vendas!B86,Vendedores!A:A))</f>
        <v>Apucarana</v>
      </c>
      <c r="H86" s="2">
        <v>46078</v>
      </c>
      <c r="I86" s="4">
        <v>485075</v>
      </c>
      <c r="J86" s="16">
        <f>VLOOKUP(B86,Vendedores!A:C,3,FALSE)</f>
        <v>0.15</v>
      </c>
      <c r="K86" s="23">
        <f t="shared" si="1"/>
        <v>72761.25</v>
      </c>
    </row>
    <row r="87" spans="1:11" x14ac:dyDescent="0.2">
      <c r="A87" s="1">
        <v>1086</v>
      </c>
      <c r="B87" s="1" t="s">
        <v>7</v>
      </c>
      <c r="C87" s="1" t="str">
        <f>VLOOKUP(B87,Vendedores!A:B,2,TRUE)</f>
        <v>Marcos Oliveira</v>
      </c>
      <c r="D87" s="1" t="str">
        <f>_xlfn.XLOOKUP(B87,Vendedores!A:A,Vendedores!D:D)</f>
        <v>Antonio Silva</v>
      </c>
      <c r="E87" s="1">
        <f>MATCH(B87,Vendedores!A:A)</f>
        <v>4</v>
      </c>
      <c r="F87" s="1" t="str" cm="1">
        <f t="array" ref="F87">INDEX(Vendedores!E:E,Vendas!E87)</f>
        <v>Apucarana</v>
      </c>
      <c r="G87" s="1" t="str">
        <f>INDEX(Vendedores!E:E, MATCH(Vendas!B87,Vendedores!A:A))</f>
        <v>Apucarana</v>
      </c>
      <c r="H87" s="2">
        <v>46094</v>
      </c>
      <c r="I87" s="4">
        <v>4460.18</v>
      </c>
      <c r="J87" s="16">
        <f>VLOOKUP(B87,Vendedores!A:C,3,FALSE)</f>
        <v>0.15</v>
      </c>
      <c r="K87" s="23">
        <f t="shared" si="1"/>
        <v>669.02700000000004</v>
      </c>
    </row>
    <row r="88" spans="1:11" x14ac:dyDescent="0.2">
      <c r="A88" s="1">
        <v>1087</v>
      </c>
      <c r="B88" s="1" t="s">
        <v>6</v>
      </c>
      <c r="C88" s="1" t="str">
        <f>VLOOKUP(B88,Vendedores!A:B,2,TRUE)</f>
        <v>Marcio Costa</v>
      </c>
      <c r="D88" s="1" t="str">
        <f>_xlfn.XLOOKUP(B88,Vendedores!A:A,Vendedores!D:D)</f>
        <v>Rogério Araujo</v>
      </c>
      <c r="E88" s="1">
        <f>MATCH(B88,Vendedores!A:A)</f>
        <v>6</v>
      </c>
      <c r="F88" s="1" t="str" cm="1">
        <f t="array" ref="F88">INDEX(Vendedores!E:E,Vendas!E88)</f>
        <v>São Paulo</v>
      </c>
      <c r="G88" s="1" t="str">
        <f>INDEX(Vendedores!E:E, MATCH(Vendas!B88,Vendedores!A:A))</f>
        <v>São Paulo</v>
      </c>
      <c r="H88" s="2">
        <v>46027</v>
      </c>
      <c r="I88" s="4">
        <v>3854.76</v>
      </c>
      <c r="J88" s="16">
        <f>VLOOKUP(B88,Vendedores!A:C,3,FALSE)</f>
        <v>0.04</v>
      </c>
      <c r="K88" s="23">
        <f t="shared" si="1"/>
        <v>154.19040000000001</v>
      </c>
    </row>
    <row r="89" spans="1:11" x14ac:dyDescent="0.2">
      <c r="A89" s="1">
        <v>1088</v>
      </c>
      <c r="B89" s="1" t="s">
        <v>7</v>
      </c>
      <c r="C89" s="1" t="str">
        <f>VLOOKUP(B89,Vendedores!A:B,2,TRUE)</f>
        <v>Marcos Oliveira</v>
      </c>
      <c r="D89" s="1" t="str">
        <f>_xlfn.XLOOKUP(B89,Vendedores!A:A,Vendedores!D:D)</f>
        <v>Antonio Silva</v>
      </c>
      <c r="E89" s="1">
        <f>MATCH(B89,Vendedores!A:A)</f>
        <v>4</v>
      </c>
      <c r="F89" s="1" t="str" cm="1">
        <f t="array" ref="F89">INDEX(Vendedores!E:E,Vendas!E89)</f>
        <v>Apucarana</v>
      </c>
      <c r="G89" s="1" t="str">
        <f>INDEX(Vendedores!E:E, MATCH(Vendas!B89,Vendedores!A:A))</f>
        <v>Apucarana</v>
      </c>
      <c r="H89" s="2">
        <v>46062</v>
      </c>
      <c r="I89" s="4">
        <v>2187.62</v>
      </c>
      <c r="J89" s="16">
        <f>VLOOKUP(B89,Vendedores!A:C,3,FALSE)</f>
        <v>0.15</v>
      </c>
      <c r="K89" s="23">
        <f t="shared" si="1"/>
        <v>328.14299999999997</v>
      </c>
    </row>
    <row r="90" spans="1:11" x14ac:dyDescent="0.2">
      <c r="A90" s="1">
        <v>1089</v>
      </c>
      <c r="B90" s="1" t="s">
        <v>5</v>
      </c>
      <c r="C90" s="1" t="str">
        <f>VLOOKUP(B90,Vendedores!A:B,2,TRUE)</f>
        <v>Ana Souza</v>
      </c>
      <c r="D90" s="1" t="str">
        <f>_xlfn.XLOOKUP(B90,Vendedores!A:A,Vendedores!D:D)</f>
        <v>Marcelo Alves</v>
      </c>
      <c r="E90" s="1">
        <f>MATCH(B90,Vendedores!A:A)</f>
        <v>3</v>
      </c>
      <c r="F90" s="1" t="str" cm="1">
        <f t="array" ref="F90">INDEX(Vendedores!E:E,Vendas!E90)</f>
        <v>Maringá</v>
      </c>
      <c r="G90" s="1" t="str">
        <f>INDEX(Vendedores!E:E, MATCH(Vendas!B90,Vendedores!A:A))</f>
        <v>Maringá</v>
      </c>
      <c r="H90" s="2">
        <v>46083</v>
      </c>
      <c r="I90" s="4">
        <v>3194.27</v>
      </c>
      <c r="J90" s="16">
        <f>VLOOKUP(B90,Vendedores!A:C,3,FALSE)</f>
        <v>0.08</v>
      </c>
      <c r="K90" s="23">
        <f t="shared" si="1"/>
        <v>255.54160000000002</v>
      </c>
    </row>
    <row r="91" spans="1:11" x14ac:dyDescent="0.2">
      <c r="A91" s="1">
        <v>1090</v>
      </c>
      <c r="B91" s="1" t="s">
        <v>7</v>
      </c>
      <c r="C91" s="1" t="str">
        <f>VLOOKUP(B91,Vendedores!A:B,2,TRUE)</f>
        <v>Marcos Oliveira</v>
      </c>
      <c r="D91" s="1" t="str">
        <f>_xlfn.XLOOKUP(B91,Vendedores!A:A,Vendedores!D:D)</f>
        <v>Antonio Silva</v>
      </c>
      <c r="E91" s="1">
        <f>MATCH(B91,Vendedores!A:A)</f>
        <v>4</v>
      </c>
      <c r="F91" s="1" t="str" cm="1">
        <f t="array" ref="F91">INDEX(Vendedores!E:E,Vendas!E91)</f>
        <v>Apucarana</v>
      </c>
      <c r="G91" s="1" t="str">
        <f>INDEX(Vendedores!E:E, MATCH(Vendas!B91,Vendedores!A:A))</f>
        <v>Apucarana</v>
      </c>
      <c r="H91" s="2">
        <v>46039</v>
      </c>
      <c r="I91" s="4">
        <v>4539.8100000000004</v>
      </c>
      <c r="J91" s="16">
        <f>VLOOKUP(B91,Vendedores!A:C,3,FALSE)</f>
        <v>0.15</v>
      </c>
      <c r="K91" s="23">
        <f t="shared" si="1"/>
        <v>680.97149999999999</v>
      </c>
    </row>
    <row r="92" spans="1:11" x14ac:dyDescent="0.2">
      <c r="A92" s="1">
        <v>1091</v>
      </c>
      <c r="B92" s="1" t="s">
        <v>5</v>
      </c>
      <c r="C92" s="1" t="str">
        <f>VLOOKUP(B92,Vendedores!A:B,2,TRUE)</f>
        <v>Ana Souza</v>
      </c>
      <c r="D92" s="1" t="str">
        <f>_xlfn.XLOOKUP(B92,Vendedores!A:A,Vendedores!D:D)</f>
        <v>Marcelo Alves</v>
      </c>
      <c r="E92" s="1">
        <f>MATCH(B92,Vendedores!A:A)</f>
        <v>3</v>
      </c>
      <c r="F92" s="1" t="str" cm="1">
        <f t="array" ref="F92">INDEX(Vendedores!E:E,Vendas!E92)</f>
        <v>Maringá</v>
      </c>
      <c r="G92" s="1" t="str">
        <f>INDEX(Vendedores!E:E, MATCH(Vendas!B92,Vendedores!A:A))</f>
        <v>Maringá</v>
      </c>
      <c r="H92" s="2">
        <v>46048</v>
      </c>
      <c r="I92" s="4">
        <v>447.88</v>
      </c>
      <c r="J92" s="16">
        <f>VLOOKUP(B92,Vendedores!A:C,3,FALSE)</f>
        <v>0.08</v>
      </c>
      <c r="K92" s="23">
        <f t="shared" si="1"/>
        <v>35.830399999999997</v>
      </c>
    </row>
    <row r="93" spans="1:11" x14ac:dyDescent="0.2">
      <c r="A93" s="1">
        <v>1092</v>
      </c>
      <c r="B93" s="1" t="s">
        <v>5</v>
      </c>
      <c r="C93" s="1" t="str">
        <f>VLOOKUP(B93,Vendedores!A:B,2,TRUE)</f>
        <v>Ana Souza</v>
      </c>
      <c r="D93" s="1" t="str">
        <f>_xlfn.XLOOKUP(B93,Vendedores!A:A,Vendedores!D:D)</f>
        <v>Marcelo Alves</v>
      </c>
      <c r="E93" s="1">
        <f>MATCH(B93,Vendedores!A:A)</f>
        <v>3</v>
      </c>
      <c r="F93" s="1" t="str" cm="1">
        <f t="array" ref="F93">INDEX(Vendedores!E:E,Vendas!E93)</f>
        <v>Maringá</v>
      </c>
      <c r="G93" s="1" t="str">
        <f>INDEX(Vendedores!E:E, MATCH(Vendas!B93,Vendedores!A:A))</f>
        <v>Maringá</v>
      </c>
      <c r="H93" s="2">
        <v>46102</v>
      </c>
      <c r="I93" s="4">
        <v>691.06</v>
      </c>
      <c r="J93" s="16">
        <f>VLOOKUP(B93,Vendedores!A:C,3,FALSE)</f>
        <v>0.08</v>
      </c>
      <c r="K93" s="23">
        <f t="shared" si="1"/>
        <v>55.284799999999997</v>
      </c>
    </row>
    <row r="94" spans="1:11" x14ac:dyDescent="0.2">
      <c r="A94" s="1">
        <v>1093</v>
      </c>
      <c r="B94" s="1" t="s">
        <v>5</v>
      </c>
      <c r="C94" s="1" t="str">
        <f>VLOOKUP(B94,Vendedores!A:B,2,TRUE)</f>
        <v>Ana Souza</v>
      </c>
      <c r="D94" s="1" t="str">
        <f>_xlfn.XLOOKUP(B94,Vendedores!A:A,Vendedores!D:D)</f>
        <v>Marcelo Alves</v>
      </c>
      <c r="E94" s="1">
        <f>MATCH(B94,Vendedores!A:A)</f>
        <v>3</v>
      </c>
      <c r="F94" s="1" t="str" cm="1">
        <f t="array" ref="F94">INDEX(Vendedores!E:E,Vendas!E94)</f>
        <v>Maringá</v>
      </c>
      <c r="G94" s="1" t="str">
        <f>INDEX(Vendedores!E:E, MATCH(Vendas!B94,Vendedores!A:A))</f>
        <v>Maringá</v>
      </c>
      <c r="H94" s="2">
        <v>46089</v>
      </c>
      <c r="I94" s="4">
        <v>4427.67</v>
      </c>
      <c r="J94" s="16">
        <f>VLOOKUP(B94,Vendedores!A:C,3,FALSE)</f>
        <v>0.08</v>
      </c>
      <c r="K94" s="23">
        <f t="shared" si="1"/>
        <v>354.21359999999999</v>
      </c>
    </row>
    <row r="95" spans="1:11" x14ac:dyDescent="0.2">
      <c r="A95" s="1">
        <v>1094</v>
      </c>
      <c r="B95" s="1" t="s">
        <v>7</v>
      </c>
      <c r="C95" s="1" t="str">
        <f>VLOOKUP(B95,Vendedores!A:B,2,TRUE)</f>
        <v>Marcos Oliveira</v>
      </c>
      <c r="D95" s="1" t="str">
        <f>_xlfn.XLOOKUP(B95,Vendedores!A:A,Vendedores!D:D)</f>
        <v>Antonio Silva</v>
      </c>
      <c r="E95" s="1">
        <f>MATCH(B95,Vendedores!A:A)</f>
        <v>4</v>
      </c>
      <c r="F95" s="1" t="str" cm="1">
        <f t="array" ref="F95">INDEX(Vendedores!E:E,Vendas!E95)</f>
        <v>Apucarana</v>
      </c>
      <c r="G95" s="1" t="str">
        <f>INDEX(Vendedores!E:E, MATCH(Vendas!B95,Vendedores!A:A))</f>
        <v>Apucarana</v>
      </c>
      <c r="H95" s="2">
        <v>46055</v>
      </c>
      <c r="I95" s="4">
        <v>4648.51</v>
      </c>
      <c r="J95" s="16">
        <f>VLOOKUP(B95,Vendedores!A:C,3,FALSE)</f>
        <v>0.15</v>
      </c>
      <c r="K95" s="23">
        <f t="shared" si="1"/>
        <v>697.27650000000006</v>
      </c>
    </row>
    <row r="96" spans="1:11" x14ac:dyDescent="0.2">
      <c r="A96" s="1">
        <v>1095</v>
      </c>
      <c r="B96" s="1" t="s">
        <v>8</v>
      </c>
      <c r="C96" s="1" t="str">
        <f>VLOOKUP(B96,Vendedores!A:B,2,TRUE)</f>
        <v>Juliana Lima</v>
      </c>
      <c r="D96" s="1" t="str">
        <f>_xlfn.XLOOKUP(B96,Vendedores!A:A,Vendedores!D:D)</f>
        <v>Rogério Araujo</v>
      </c>
      <c r="E96" s="1">
        <f>MATCH(B96,Vendedores!A:A)</f>
        <v>5</v>
      </c>
      <c r="F96" s="1" t="str" cm="1">
        <f t="array" ref="F96">INDEX(Vendedores!E:E,Vendas!E96)</f>
        <v>Curitiba</v>
      </c>
      <c r="G96" s="1" t="str">
        <f>INDEX(Vendedores!E:E, MATCH(Vendas!B96,Vendedores!A:A))</f>
        <v>Curitiba</v>
      </c>
      <c r="H96" s="2">
        <v>46060</v>
      </c>
      <c r="I96" s="4">
        <v>2435.59</v>
      </c>
      <c r="J96" s="16">
        <f>VLOOKUP(B96,Vendedores!A:C,3,FALSE)</f>
        <v>0.1</v>
      </c>
      <c r="K96" s="23">
        <f t="shared" si="1"/>
        <v>243.55900000000003</v>
      </c>
    </row>
    <row r="97" spans="1:11" x14ac:dyDescent="0.2">
      <c r="A97" s="1">
        <v>1096</v>
      </c>
      <c r="B97" s="1" t="s">
        <v>6</v>
      </c>
      <c r="C97" s="1" t="str">
        <f>VLOOKUP(B97,Vendedores!A:B,2,TRUE)</f>
        <v>Marcio Costa</v>
      </c>
      <c r="D97" s="1" t="str">
        <f>_xlfn.XLOOKUP(B97,Vendedores!A:A,Vendedores!D:D)</f>
        <v>Rogério Araujo</v>
      </c>
      <c r="E97" s="1">
        <f>MATCH(B97,Vendedores!A:A)</f>
        <v>6</v>
      </c>
      <c r="F97" s="1" t="str" cm="1">
        <f t="array" ref="F97">INDEX(Vendedores!E:E,Vendas!E97)</f>
        <v>São Paulo</v>
      </c>
      <c r="G97" s="1" t="str">
        <f>INDEX(Vendedores!E:E, MATCH(Vendas!B97,Vendedores!A:A))</f>
        <v>São Paulo</v>
      </c>
      <c r="H97" s="2">
        <v>46066</v>
      </c>
      <c r="I97" s="4">
        <v>1033.47</v>
      </c>
      <c r="J97" s="16">
        <f>VLOOKUP(B97,Vendedores!A:C,3,FALSE)</f>
        <v>0.04</v>
      </c>
      <c r="K97" s="23">
        <f t="shared" si="1"/>
        <v>41.338799999999999</v>
      </c>
    </row>
    <row r="98" spans="1:11" x14ac:dyDescent="0.2">
      <c r="A98" s="1">
        <v>1097</v>
      </c>
      <c r="B98" s="1" t="s">
        <v>7</v>
      </c>
      <c r="C98" s="1" t="str">
        <f>VLOOKUP(B98,Vendedores!A:B,2,TRUE)</f>
        <v>Marcos Oliveira</v>
      </c>
      <c r="D98" s="1" t="str">
        <f>_xlfn.XLOOKUP(B98,Vendedores!A:A,Vendedores!D:D)</f>
        <v>Antonio Silva</v>
      </c>
      <c r="E98" s="1">
        <f>MATCH(B98,Vendedores!A:A)</f>
        <v>4</v>
      </c>
      <c r="F98" s="1" t="str" cm="1">
        <f t="array" ref="F98">INDEX(Vendedores!E:E,Vendas!E98)</f>
        <v>Apucarana</v>
      </c>
      <c r="G98" s="1" t="str">
        <f>INDEX(Vendedores!E:E, MATCH(Vendas!B98,Vendedores!A:A))</f>
        <v>Apucarana</v>
      </c>
      <c r="H98" s="2">
        <v>46044</v>
      </c>
      <c r="I98" s="4">
        <v>1268.04</v>
      </c>
      <c r="J98" s="16">
        <f>VLOOKUP(B98,Vendedores!A:C,3,FALSE)</f>
        <v>0.15</v>
      </c>
      <c r="K98" s="23">
        <f t="shared" si="1"/>
        <v>190.20599999999999</v>
      </c>
    </row>
    <row r="99" spans="1:11" x14ac:dyDescent="0.2">
      <c r="A99" s="1">
        <v>1098</v>
      </c>
      <c r="B99" s="1" t="s">
        <v>4</v>
      </c>
      <c r="C99" s="1" t="str">
        <f>VLOOKUP(B99,Vendedores!A:B,2,TRUE)</f>
        <v>Carlos Silva</v>
      </c>
      <c r="D99" s="1" t="str">
        <f>_xlfn.XLOOKUP(B99,Vendedores!A:A,Vendedores!D:D)</f>
        <v>Marcelo Alves</v>
      </c>
      <c r="E99" s="1">
        <f>MATCH(B99,Vendedores!A:A)</f>
        <v>2</v>
      </c>
      <c r="F99" s="1" t="str" cm="1">
        <f t="array" ref="F99">INDEX(Vendedores!E:E,Vendas!E99)</f>
        <v>Maringá</v>
      </c>
      <c r="G99" s="1" t="str">
        <f>INDEX(Vendedores!E:E, MATCH(Vendas!B99,Vendedores!A:A))</f>
        <v>Maringá</v>
      </c>
      <c r="H99" s="2">
        <v>46058</v>
      </c>
      <c r="I99" s="4">
        <v>2178.65</v>
      </c>
      <c r="J99" s="16">
        <f>VLOOKUP(B99,Vendedores!A:C,3,FALSE)</f>
        <v>0.08</v>
      </c>
      <c r="K99" s="23">
        <f t="shared" si="1"/>
        <v>174.292</v>
      </c>
    </row>
    <row r="100" spans="1:11" x14ac:dyDescent="0.2">
      <c r="A100" s="1">
        <v>1099</v>
      </c>
      <c r="B100" s="1" t="s">
        <v>6</v>
      </c>
      <c r="C100" s="1" t="str">
        <f>VLOOKUP(B100,Vendedores!A:B,2,TRUE)</f>
        <v>Marcio Costa</v>
      </c>
      <c r="D100" s="1" t="str">
        <f>_xlfn.XLOOKUP(B100,Vendedores!A:A,Vendedores!D:D)</f>
        <v>Rogério Araujo</v>
      </c>
      <c r="E100" s="1">
        <f>MATCH(B100,Vendedores!A:A)</f>
        <v>6</v>
      </c>
      <c r="F100" s="1" t="str" cm="1">
        <f t="array" ref="F100">INDEX(Vendedores!E:E,Vendas!E100)</f>
        <v>São Paulo</v>
      </c>
      <c r="G100" s="1" t="str">
        <f>INDEX(Vendedores!E:E, MATCH(Vendas!B100,Vendedores!A:A))</f>
        <v>São Paulo</v>
      </c>
      <c r="H100" s="2">
        <v>46085</v>
      </c>
      <c r="I100" s="4">
        <v>3573.74</v>
      </c>
      <c r="J100" s="16">
        <f>VLOOKUP(B100,Vendedores!A:C,3,FALSE)</f>
        <v>0.04</v>
      </c>
      <c r="K100" s="23">
        <f t="shared" si="1"/>
        <v>142.9496</v>
      </c>
    </row>
    <row r="101" spans="1:11" x14ac:dyDescent="0.2">
      <c r="A101" s="1">
        <v>1100</v>
      </c>
      <c r="B101" s="1" t="s">
        <v>7</v>
      </c>
      <c r="C101" s="1" t="str">
        <f>VLOOKUP(B101,Vendedores!A:B,2,TRUE)</f>
        <v>Marcos Oliveira</v>
      </c>
      <c r="D101" s="1" t="str">
        <f>_xlfn.XLOOKUP(B101,Vendedores!A:A,Vendedores!D:D)</f>
        <v>Antonio Silva</v>
      </c>
      <c r="E101" s="1">
        <f>MATCH(B101,Vendedores!A:A)</f>
        <v>4</v>
      </c>
      <c r="F101" s="1" t="str" cm="1">
        <f t="array" ref="F101">INDEX(Vendedores!E:E,Vendas!E101)</f>
        <v>Apucarana</v>
      </c>
      <c r="G101" s="1" t="str">
        <f>INDEX(Vendedores!E:E, MATCH(Vendas!B101,Vendedores!A:A))</f>
        <v>Apucarana</v>
      </c>
      <c r="H101" s="2">
        <v>46030</v>
      </c>
      <c r="I101" s="4">
        <v>2519.8200000000002</v>
      </c>
      <c r="J101" s="16">
        <f>VLOOKUP(B101,Vendedores!A:C,3,FALSE)</f>
        <v>0.15</v>
      </c>
      <c r="K101" s="23">
        <f t="shared" si="1"/>
        <v>377.97300000000001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35B96-9C52-4752-9559-B06BE7F3E6EB}">
  <dimension ref="A1:E6"/>
  <sheetViews>
    <sheetView zoomScale="175" zoomScaleNormal="175" workbookViewId="0">
      <selection activeCell="E7" sqref="E7"/>
    </sheetView>
  </sheetViews>
  <sheetFormatPr defaultRowHeight="12.75" x14ac:dyDescent="0.2"/>
  <cols>
    <col min="1" max="1" width="11.28515625" bestFit="1" customWidth="1"/>
    <col min="2" max="2" width="16.140625" customWidth="1"/>
    <col min="3" max="5" width="16.140625" style="21" customWidth="1"/>
  </cols>
  <sheetData>
    <row r="1" spans="1:5" x14ac:dyDescent="0.2">
      <c r="A1" s="6" t="s">
        <v>1</v>
      </c>
      <c r="B1" s="7" t="s">
        <v>9</v>
      </c>
      <c r="C1" s="17" t="s">
        <v>16</v>
      </c>
      <c r="D1" s="17" t="s">
        <v>19</v>
      </c>
      <c r="E1" s="17" t="s">
        <v>24</v>
      </c>
    </row>
    <row r="2" spans="1:5" x14ac:dyDescent="0.2">
      <c r="A2" s="8" t="s">
        <v>4</v>
      </c>
      <c r="B2" s="9" t="s">
        <v>10</v>
      </c>
      <c r="C2" s="18">
        <v>0.08</v>
      </c>
      <c r="D2" s="18" t="s">
        <v>20</v>
      </c>
      <c r="E2" s="18" t="s">
        <v>25</v>
      </c>
    </row>
    <row r="3" spans="1:5" x14ac:dyDescent="0.2">
      <c r="A3" s="6" t="s">
        <v>5</v>
      </c>
      <c r="B3" s="7" t="s">
        <v>11</v>
      </c>
      <c r="C3" s="17">
        <v>0.08</v>
      </c>
      <c r="D3" s="17" t="s">
        <v>20</v>
      </c>
      <c r="E3" s="17" t="s">
        <v>25</v>
      </c>
    </row>
    <row r="4" spans="1:5" x14ac:dyDescent="0.2">
      <c r="A4" s="8" t="s">
        <v>7</v>
      </c>
      <c r="B4" s="9" t="s">
        <v>12</v>
      </c>
      <c r="C4" s="18">
        <v>0.15</v>
      </c>
      <c r="D4" s="18" t="s">
        <v>21</v>
      </c>
      <c r="E4" s="18" t="s">
        <v>26</v>
      </c>
    </row>
    <row r="5" spans="1:5" x14ac:dyDescent="0.2">
      <c r="A5" s="10" t="s">
        <v>8</v>
      </c>
      <c r="B5" s="11" t="s">
        <v>13</v>
      </c>
      <c r="C5" s="19">
        <v>0.1</v>
      </c>
      <c r="D5" s="19" t="s">
        <v>22</v>
      </c>
      <c r="E5" s="19" t="s">
        <v>27</v>
      </c>
    </row>
    <row r="6" spans="1:5" x14ac:dyDescent="0.2">
      <c r="A6" s="13" t="s">
        <v>6</v>
      </c>
      <c r="B6" s="14" t="s">
        <v>14</v>
      </c>
      <c r="C6" s="20">
        <v>0.04</v>
      </c>
      <c r="D6" s="20" t="s">
        <v>22</v>
      </c>
      <c r="E6" s="20" t="s">
        <v>28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ABEB893-E793-4E21-8444-CFF8BF6E7CB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Vendas</vt:lpstr>
      <vt:lpstr>Vendedores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Diego Araujo Da Rocha</cp:lastModifiedBy>
  <dcterms:modified xsi:type="dcterms:W3CDTF">2026-10-28T13:24:19Z</dcterms:modified>
</cp:coreProperties>
</file>